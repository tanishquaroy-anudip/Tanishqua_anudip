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6040EEE-4C02-4007-A0D2-B4F7987B4352}" xr6:coauthVersionLast="47" xr6:coauthVersionMax="47" xr10:uidLastSave="{00000000-0000-0000-0000-000000000000}"/>
  <bookViews>
    <workbookView xWindow="-120" yWindow="-120" windowWidth="20730" windowHeight="11040" xr2:uid="{A2CD86CE-ACD5-4A63-9AB1-84DA22C38DF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2" l="1"/>
  <c r="I9" i="2"/>
  <c r="J9" i="2" s="1"/>
  <c r="I3" i="2"/>
  <c r="J3" i="2" s="1"/>
  <c r="K3" i="2" s="1"/>
  <c r="I4" i="2"/>
  <c r="J4" i="2" s="1"/>
  <c r="I5" i="2"/>
  <c r="I6" i="2"/>
  <c r="I7" i="2"/>
  <c r="I2" i="2"/>
  <c r="H9" i="2"/>
  <c r="H8" i="2"/>
  <c r="H3" i="2"/>
  <c r="H4" i="2"/>
  <c r="H5" i="2"/>
  <c r="H6" i="2"/>
  <c r="H7" i="2"/>
  <c r="H2" i="2"/>
  <c r="J7" i="2"/>
  <c r="K7" i="2" s="1"/>
  <c r="G8" i="2"/>
  <c r="G9" i="2"/>
  <c r="G3" i="2"/>
  <c r="G4" i="2"/>
  <c r="G5" i="2"/>
  <c r="G6" i="2"/>
  <c r="G7" i="2"/>
  <c r="G2" i="2"/>
  <c r="K9" i="2" l="1"/>
  <c r="J8" i="2"/>
  <c r="K8" i="2"/>
  <c r="J6" i="2"/>
  <c r="K6" i="2" s="1"/>
  <c r="J5" i="2"/>
  <c r="K5" i="2" s="1"/>
  <c r="K4" i="2"/>
  <c r="J2" i="2"/>
  <c r="K2" i="2" s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<sst xmlns="http://schemas.openxmlformats.org/spreadsheetml/2006/main" count="34" uniqueCount="29">
  <si>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</si>
  <si>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</si>
  <si>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>Price</t>
  </si>
  <si>
    <t>Quantity</t>
  </si>
  <si>
    <t>Salesperson</t>
  </si>
  <si>
    <t>Total Price</t>
  </si>
  <si>
    <t>Discount Amount</t>
  </si>
  <si>
    <t>Price After Discount</t>
  </si>
  <si>
    <t>Tax Amont</t>
  </si>
  <si>
    <t>Total Bill</t>
  </si>
  <si>
    <t>Pen</t>
  </si>
  <si>
    <t>Pencil</t>
  </si>
  <si>
    <t>Notebook</t>
  </si>
  <si>
    <t>Eraser</t>
  </si>
  <si>
    <t>Marker</t>
  </si>
  <si>
    <t>Scale</t>
  </si>
  <si>
    <t>Sharpener</t>
  </si>
  <si>
    <t>File</t>
  </si>
  <si>
    <t>Discount %</t>
  </si>
  <si>
    <t>Amit</t>
  </si>
  <si>
    <t>Riya</t>
  </si>
  <si>
    <t>John</t>
  </si>
  <si>
    <t>Company Tax</t>
  </si>
  <si>
    <t>Shipping Charge</t>
  </si>
  <si>
    <t>1. FIND THE TOTAL PRICE OF EACH ITEM</t>
  </si>
  <si>
    <t>2. FIND DISCOUNT AMOUNT OF EACH ITEM</t>
  </si>
  <si>
    <t>3. FIND THE PRICE AFTER DISCOUNT</t>
  </si>
  <si>
    <t>4.FIND THE TAX AMOUNT</t>
  </si>
  <si>
    <t>5.FIND THE TOTAL BILL INCLUDING SHIPPING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</si>
</sst>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9" fontId="0" fillId="0" borderId="0" xfId="0" applyNumberFormat="1"/>
    <xf numFmtId="9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FCDE-1E02-48A4-9786-FF8DE6BF9728}">
  <dimension ref="A1:P9"/>
  <sheetViews>
    <sheetView tabSelected="1" zoomScale="70" zoomScaleNormal="70" workbookViewId="0">
      <selection activeCell="M15" sqref="M15"/>
    </sheetView>
  </sheetViews>
  <sheetFormatPr defaultRowHeight="15" x14ac:dyDescent="0.25"/>
  <cols>
    <col min="1" max="1" width="8.42578125" bestFit="1" customWidth="1"/>
    <col min="2" max="2" width="10.140625" bestFit="1" customWidth="1"/>
    <col min="3" max="3" width="5.42578125" bestFit="1" customWidth="1"/>
    <col min="4" max="4" width="8.7109375" bestFit="1" customWidth="1"/>
    <col min="5" max="5" width="10.7109375" bestFit="1" customWidth="1"/>
    <col min="6" max="6" width="11.7109375" bestFit="1" customWidth="1"/>
    <col min="7" max="7" width="10.28515625" bestFit="1" customWidth="1"/>
    <col min="8" max="8" width="16.42578125" bestFit="1" customWidth="1"/>
    <col min="9" max="9" width="18.85546875" bestFit="1" customWidth="1"/>
    <col min="10" max="10" width="10.42578125" bestFit="1" customWidth="1"/>
    <col min="11" max="11" width="8.7109375" bestFit="1" customWidth="1"/>
    <col min="13" max="13" width="15.42578125" bestFit="1" customWidth="1"/>
    <col min="16" max="16" width="48.4257812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6" x14ac:dyDescent="0.25">
      <c r="A2" s="1">
        <v>1001</v>
      </c>
      <c r="B2" s="1" t="s">
        <v>10</v>
      </c>
      <c r="C2" s="1">
        <v>10</v>
      </c>
      <c r="D2" s="1">
        <v>5</v>
      </c>
      <c r="E2" s="4">
        <v>0.05</v>
      </c>
      <c r="F2" s="1" t="s">
        <v>19</v>
      </c>
      <c r="G2" s="1">
        <f>C2*D2</f>
        <v>50</v>
      </c>
      <c r="H2" s="1">
        <f>E2*G2</f>
        <v>2.5</v>
      </c>
      <c r="I2" s="1">
        <f>G2-H2</f>
        <v>47.5</v>
      </c>
      <c r="J2" s="1">
        <f>I2*N2</f>
        <v>8.5499999999999989</v>
      </c>
      <c r="K2" s="1">
        <f>I2+J2+N3</f>
        <v>76.05</v>
      </c>
      <c r="M2" s="5" t="s">
        <v>22</v>
      </c>
      <c r="N2" s="3">
        <v>0.18</v>
      </c>
      <c r="P2" s="5" t="s">
        <v>24</v>
      </c>
    </row>
    <row r="3" spans="1:16" x14ac:dyDescent="0.25">
      <c r="A3" s="1">
        <v>1002</v>
      </c>
      <c r="B3" s="1" t="s">
        <v>11</v>
      </c>
      <c r="C3" s="1">
        <v>5</v>
      </c>
      <c r="D3" s="1">
        <v>10</v>
      </c>
      <c r="E3" s="4">
        <v>0</v>
      </c>
      <c r="F3" s="1" t="s">
        <v>20</v>
      </c>
      <c r="G3" s="1">
        <f t="shared" ref="G3:G9" si="0">C3*D3</f>
        <v>50</v>
      </c>
      <c r="H3" s="1">
        <f t="shared" ref="H3:H7" si="1">E3*G3</f>
        <v>0</v>
      </c>
      <c r="I3" s="1">
        <f t="shared" ref="I3:I9" si="2">G3-H3</f>
        <v>50</v>
      </c>
      <c r="J3" s="1">
        <f>I3*N2</f>
        <v>9</v>
      </c>
      <c r="K3" s="1">
        <f t="shared" ref="K3:K9" si="3">I3+J3+N4</f>
        <v>59</v>
      </c>
      <c r="M3" s="5" t="s">
        <v>23</v>
      </c>
      <c r="N3">
        <v>20</v>
      </c>
      <c r="P3" s="5" t="s">
        <v>25</v>
      </c>
    </row>
    <row r="4" spans="1:16" x14ac:dyDescent="0.25">
      <c r="A4" s="1">
        <v>1003</v>
      </c>
      <c r="B4" s="1" t="s">
        <v>12</v>
      </c>
      <c r="C4" s="1">
        <v>50</v>
      </c>
      <c r="D4" s="1">
        <v>3</v>
      </c>
      <c r="E4" s="4">
        <v>0.1</v>
      </c>
      <c r="F4" s="1" t="s">
        <v>21</v>
      </c>
      <c r="G4" s="1">
        <f t="shared" si="0"/>
        <v>150</v>
      </c>
      <c r="H4" s="1">
        <f t="shared" si="1"/>
        <v>15</v>
      </c>
      <c r="I4" s="1">
        <f t="shared" si="2"/>
        <v>135</v>
      </c>
      <c r="J4" s="1">
        <f>I4*N2</f>
        <v>24.3</v>
      </c>
      <c r="K4" s="1">
        <f t="shared" si="3"/>
        <v>159.30000000000001</v>
      </c>
      <c r="P4" s="5" t="s">
        <v>26</v>
      </c>
    </row>
    <row r="5" spans="1:16" x14ac:dyDescent="0.25">
      <c r="A5" s="1">
        <v>1004</v>
      </c>
      <c r="B5" s="1" t="s">
        <v>13</v>
      </c>
      <c r="C5" s="1">
        <v>3</v>
      </c>
      <c r="D5" s="1">
        <v>20</v>
      </c>
      <c r="E5" s="4">
        <v>0</v>
      </c>
      <c r="F5" s="1" t="s">
        <v>19</v>
      </c>
      <c r="G5" s="1">
        <f t="shared" si="0"/>
        <v>60</v>
      </c>
      <c r="H5" s="1">
        <f t="shared" si="1"/>
        <v>0</v>
      </c>
      <c r="I5" s="1">
        <f t="shared" si="2"/>
        <v>60</v>
      </c>
      <c r="J5" s="1">
        <f>I5*N2</f>
        <v>10.799999999999999</v>
      </c>
      <c r="K5" s="1">
        <f t="shared" si="3"/>
        <v>70.8</v>
      </c>
      <c r="P5" s="5" t="s">
        <v>27</v>
      </c>
    </row>
    <row r="6" spans="1:16" x14ac:dyDescent="0.25">
      <c r="A6" s="1">
        <v>1005</v>
      </c>
      <c r="B6" s="1" t="s">
        <v>14</v>
      </c>
      <c r="C6" s="1">
        <v>25</v>
      </c>
      <c r="D6" s="1">
        <v>4</v>
      </c>
      <c r="E6" s="4">
        <v>0.05</v>
      </c>
      <c r="F6" s="1" t="s">
        <v>20</v>
      </c>
      <c r="G6" s="1">
        <f t="shared" si="0"/>
        <v>100</v>
      </c>
      <c r="H6" s="1">
        <f t="shared" si="1"/>
        <v>5</v>
      </c>
      <c r="I6" s="1">
        <f t="shared" si="2"/>
        <v>95</v>
      </c>
      <c r="J6" s="1">
        <f>I6*N2</f>
        <v>17.099999999999998</v>
      </c>
      <c r="K6" s="1">
        <f t="shared" si="3"/>
        <v>112.1</v>
      </c>
      <c r="P6" s="5" t="s">
        <v>28</v>
      </c>
    </row>
    <row r="7" spans="1:16" x14ac:dyDescent="0.25">
      <c r="A7" s="1">
        <v>1006</v>
      </c>
      <c r="B7" s="1" t="s">
        <v>15</v>
      </c>
      <c r="C7" s="1">
        <v>15</v>
      </c>
      <c r="D7" s="1">
        <v>6</v>
      </c>
      <c r="E7" s="4">
        <v>0</v>
      </c>
      <c r="F7" s="1" t="s">
        <v>21</v>
      </c>
      <c r="G7" s="1">
        <f t="shared" si="0"/>
        <v>90</v>
      </c>
      <c r="H7" s="1">
        <f t="shared" si="1"/>
        <v>0</v>
      </c>
      <c r="I7" s="1">
        <f t="shared" si="2"/>
        <v>90</v>
      </c>
      <c r="J7" s="1">
        <f>I7*N2</f>
        <v>16.2</v>
      </c>
      <c r="K7" s="1">
        <f t="shared" si="3"/>
        <v>106.2</v>
      </c>
    </row>
    <row r="8" spans="1:16" x14ac:dyDescent="0.25">
      <c r="A8" s="1">
        <v>1007</v>
      </c>
      <c r="B8" s="1" t="s">
        <v>16</v>
      </c>
      <c r="C8" s="1">
        <v>8</v>
      </c>
      <c r="D8" s="1">
        <v>8</v>
      </c>
      <c r="E8" s="4">
        <v>0.05</v>
      </c>
      <c r="F8" s="1" t="s">
        <v>19</v>
      </c>
      <c r="G8" s="1">
        <f>C8*D8</f>
        <v>64</v>
      </c>
      <c r="H8" s="1">
        <f>E8*G8</f>
        <v>3.2</v>
      </c>
      <c r="I8" s="1">
        <f>G8-H8</f>
        <v>60.8</v>
      </c>
      <c r="J8" s="1">
        <f>I8*N2</f>
        <v>10.943999999999999</v>
      </c>
      <c r="K8" s="1">
        <f t="shared" si="3"/>
        <v>71.744</v>
      </c>
    </row>
    <row r="9" spans="1:16" x14ac:dyDescent="0.25">
      <c r="A9" s="1">
        <v>1008</v>
      </c>
      <c r="B9" s="1" t="s">
        <v>17</v>
      </c>
      <c r="C9" s="1">
        <v>40</v>
      </c>
      <c r="D9" s="1">
        <v>2</v>
      </c>
      <c r="E9" s="4">
        <v>0.1</v>
      </c>
      <c r="F9" s="1" t="s">
        <v>20</v>
      </c>
      <c r="G9" s="1">
        <f t="shared" si="0"/>
        <v>80</v>
      </c>
      <c r="H9" s="1">
        <f>E9*G9</f>
        <v>8</v>
      </c>
      <c r="I9" s="1">
        <f t="shared" si="2"/>
        <v>72</v>
      </c>
      <c r="J9" s="1">
        <f>I9*N2</f>
        <v>12.959999999999999</v>
      </c>
      <c r="K9" s="1">
        <f t="shared" si="3"/>
        <v>84.96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Tanishqua Roy</dc:creator>
  <cp:lastModifiedBy>Tanishqua Roy</cp:lastModifiedBy>
  <dcterms:created xsi:type="dcterms:W3CDTF">2026-05-07T04:49:44Z</dcterms:created>
  <dcterms:modified xsi:type="dcterms:W3CDTF">2026-05-07T06:41:04Z</dcterms:modified>
</cp:coreProperties>
</file>