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"/>
    </mc:Choice>
  </mc:AlternateContent>
  <xr:revisionPtr revIDLastSave="0" documentId="13_ncr:1_{911AD0FF-42ED-48A5-9706-8F42EF38ED36}" xr6:coauthVersionLast="47" xr6:coauthVersionMax="47" xr10:uidLastSave="{00000000-0000-0000-0000-000000000000}"/>
  <bookViews>
    <workbookView xWindow="-120" yWindow="-120" windowWidth="20730" windowHeight="11040" activeTab="1" xr2:uid="{C41A934F-C294-4819-90EB-62B58B0C9F1C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2" l="1" a="1"/>
  <c r="K2" i="2" s="1"/>
  <c r="M2" i="2"/>
  <c r="J3" i="2"/>
  <c r="J4" i="2"/>
  <c r="J5" i="2"/>
  <c r="J6" i="2"/>
  <c r="J7" i="2"/>
  <c r="J2" i="2"/>
  <c r="I3" i="2"/>
  <c r="I4" i="2"/>
  <c r="I5" i="2"/>
  <c r="I6" i="2"/>
  <c r="I7" i="2"/>
  <c r="I2" i="2"/>
  <c r="H5" i="2"/>
  <c r="H6" i="2"/>
  <c r="H7" i="2"/>
  <c r="H3" i="2"/>
  <c r="H4" i="2"/>
  <c r="H2" i="2"/>
  <c r="E2" i="2"/>
  <c r="F2" i="2" s="1"/>
  <c r="G3" i="2"/>
  <c r="G4" i="2"/>
  <c r="G5" i="2"/>
  <c r="G6" i="2"/>
  <c r="G7" i="2"/>
  <c r="G8" i="2"/>
  <c r="G2" i="2"/>
  <c r="F8" i="2"/>
  <c r="F4" i="2"/>
  <c r="E3" i="2"/>
  <c r="F3" i="2" s="1"/>
  <c r="E4" i="2"/>
  <c r="E5" i="2"/>
  <c r="F5" i="2" s="1"/>
  <c r="E6" i="2"/>
  <c r="F6" i="2" s="1"/>
  <c r="E7" i="2"/>
  <c r="F7" i="2" s="1"/>
  <c r="D3" i="2"/>
  <c r="D4" i="2"/>
  <c r="D5" i="2"/>
  <c r="D6" i="2"/>
  <c r="D7" i="2"/>
  <c r="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<sst xmlns="http://schemas.openxmlformats.org/spreadsheetml/2006/main" count="29" uniqueCount="27">
  <si>
    <t>ProductID</t>
  </si>
  <si>
    <t>Product</t>
  </si>
  <si>
    <t>Price</t>
  </si>
  <si>
    <t>Product F</t>
  </si>
  <si>
    <t>Product A</t>
  </si>
  <si>
    <t>Product B</t>
  </si>
  <si>
    <t>Product C</t>
  </si>
  <si>
    <t>Product D</t>
  </si>
  <si>
    <t>Product E</t>
  </si>
  <si>
    <t>OrderID</t>
  </si>
  <si>
    <t>Quantity</t>
  </si>
  <si>
    <t>1. Use VLOOKUP to find the product names for each ProductID in the Orders worksheet.</t>
  </si>
  <si>
    <t xml:space="preserve"> Product Name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</si>
  <si>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</si>
  <si>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</si>
  <si>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</si>
  <si>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</si>
  <si>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</si>
  <si>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</si>
  <si>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Total Price</t>
  </si>
  <si>
    <t>Product Q</t>
  </si>
  <si>
    <t>exist/not</t>
  </si>
  <si>
    <t>Orignal Price</t>
  </si>
  <si>
    <t>Discounted Price</t>
  </si>
  <si>
    <t>Order Value</t>
  </si>
  <si>
    <t>Maximum Order Value</t>
  </si>
  <si>
    <t>Not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</si>
</sst>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6D86-3CD1-41F7-AA33-FC0235AA53B7}">
  <dimension ref="A1:C15"/>
  <sheetViews>
    <sheetView workbookViewId="0">
      <selection activeCell="C25" sqref="C25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101</v>
      </c>
      <c r="B2" s="3" t="s">
        <v>4</v>
      </c>
      <c r="C2" s="3">
        <v>120</v>
      </c>
    </row>
    <row r="3" spans="1:3" x14ac:dyDescent="0.25">
      <c r="A3" s="3">
        <v>102</v>
      </c>
      <c r="B3" s="3" t="s">
        <v>5</v>
      </c>
      <c r="C3" s="3">
        <v>150</v>
      </c>
    </row>
    <row r="4" spans="1:3" x14ac:dyDescent="0.25">
      <c r="A4" s="3">
        <v>103</v>
      </c>
      <c r="B4" s="3" t="s">
        <v>6</v>
      </c>
      <c r="C4" s="3">
        <v>200</v>
      </c>
    </row>
    <row r="5" spans="1:3" x14ac:dyDescent="0.25">
      <c r="A5" s="3">
        <v>104</v>
      </c>
      <c r="B5" s="3" t="s">
        <v>7</v>
      </c>
      <c r="C5" s="3">
        <v>90</v>
      </c>
    </row>
    <row r="6" spans="1:3" x14ac:dyDescent="0.25">
      <c r="A6" s="3">
        <v>105</v>
      </c>
      <c r="B6" s="3" t="s">
        <v>8</v>
      </c>
      <c r="C6" s="3">
        <v>220</v>
      </c>
    </row>
    <row r="7" spans="1:3" x14ac:dyDescent="0.25">
      <c r="A7" s="3">
        <v>106</v>
      </c>
      <c r="B7" s="3" t="s">
        <v>3</v>
      </c>
      <c r="C7" s="3">
        <v>130</v>
      </c>
    </row>
    <row r="9" spans="1:3" x14ac:dyDescent="0.25">
      <c r="A9" s="1" t="s">
        <v>11</v>
      </c>
    </row>
    <row r="10" spans="1:3" x14ac:dyDescent="0.25">
      <c r="A10" s="1" t="s">
        <v>13</v>
      </c>
    </row>
    <row r="11" spans="1:3" x14ac:dyDescent="0.25">
      <c r="A11" s="1" t="s">
        <v>14</v>
      </c>
    </row>
    <row r="12" spans="1:3" x14ac:dyDescent="0.25">
      <c r="A12" s="1" t="s">
        <v>15</v>
      </c>
    </row>
    <row r="13" spans="1:3" x14ac:dyDescent="0.25">
      <c r="A13" s="1" t="s">
        <v>16</v>
      </c>
    </row>
    <row r="14" spans="1:3" x14ac:dyDescent="0.25">
      <c r="A14" s="1" t="s">
        <v>17</v>
      </c>
    </row>
    <row r="15" spans="1:3" x14ac:dyDescent="0.25">
      <c r="A15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E0A5-71DF-40D9-B089-D93A99C0B4CD}">
  <dimension ref="A1:U41"/>
  <sheetViews>
    <sheetView tabSelected="1" workbookViewId="0">
      <selection activeCell="J13" sqref="J13"/>
    </sheetView>
  </sheetViews>
  <sheetFormatPr defaultRowHeight="15" x14ac:dyDescent="0.25"/>
  <cols>
    <col min="1" max="1" width="8" bestFit="1" customWidth="1"/>
    <col min="2" max="2" width="9.7109375" bestFit="1" customWidth="1"/>
    <col min="3" max="3" width="8.7109375" bestFit="1" customWidth="1"/>
    <col min="4" max="4" width="14.140625" bestFit="1" customWidth="1"/>
    <col min="5" max="5" width="9.7109375" bestFit="1" customWidth="1"/>
    <col min="6" max="6" width="14.140625" bestFit="1" customWidth="1"/>
    <col min="7" max="7" width="10" bestFit="1" customWidth="1"/>
    <col min="8" max="8" width="12.28515625" bestFit="1" customWidth="1"/>
    <col min="9" max="9" width="16" bestFit="1" customWidth="1"/>
    <col min="10" max="10" width="11.7109375" bestFit="1" customWidth="1"/>
    <col min="11" max="11" width="12.140625" bestFit="1" customWidth="1"/>
    <col min="13" max="13" width="21.5703125" bestFit="1" customWidth="1"/>
  </cols>
  <sheetData>
    <row r="1" spans="1:13" x14ac:dyDescent="0.25">
      <c r="A1" s="2" t="s">
        <v>9</v>
      </c>
      <c r="B1" s="2" t="s">
        <v>0</v>
      </c>
      <c r="C1" s="2" t="s">
        <v>10</v>
      </c>
      <c r="D1" s="2" t="s">
        <v>12</v>
      </c>
      <c r="E1" s="2" t="s">
        <v>2</v>
      </c>
      <c r="F1" s="2" t="s">
        <v>19</v>
      </c>
      <c r="G1" s="2" t="s">
        <v>21</v>
      </c>
      <c r="H1" s="5" t="s">
        <v>22</v>
      </c>
      <c r="I1" s="5" t="s">
        <v>23</v>
      </c>
      <c r="J1" s="5" t="s">
        <v>24</v>
      </c>
      <c r="K1" s="5" t="s">
        <v>26</v>
      </c>
      <c r="M1" s="2" t="s">
        <v>25</v>
      </c>
    </row>
    <row r="2" spans="1:13" x14ac:dyDescent="0.25">
      <c r="A2" s="3">
        <v>1</v>
      </c>
      <c r="B2" s="3">
        <v>101</v>
      </c>
      <c r="C2" s="4">
        <v>2</v>
      </c>
      <c r="D2" s="3" t="str">
        <f>VLOOKUP(B2,products!$A$1:$B$7,2,0)</f>
        <v>Product A</v>
      </c>
      <c r="E2" s="3">
        <f>VLOOKUP(B2,products!$A$1:$C$7,3,0)</f>
        <v>120</v>
      </c>
      <c r="F2" s="3">
        <f>SUM(E2*C2)</f>
        <v>240</v>
      </c>
      <c r="G2" s="3" t="str">
        <f>IF(ISNA(VLOOKUP(B2,products!$A$1:$C$7,1,0)),"NOT EXIST","EXIST")</f>
        <v>EXIST</v>
      </c>
      <c r="H2" s="3">
        <f>VLOOKUP(B2,products!$A$1:$C$7,3,0)</f>
        <v>120</v>
      </c>
      <c r="I2" s="3">
        <f>SUM(E2-(E2*10%))</f>
        <v>108</v>
      </c>
      <c r="J2" s="3">
        <f>SUM(C2*E2)</f>
        <v>240</v>
      </c>
      <c r="K2" s="3" t="b" cm="1">
        <f t="array" ref="K2:K7">ISNA(B2:B7)</f>
        <v>0</v>
      </c>
      <c r="M2" s="3">
        <f>MAX(J2:J8)</f>
        <v>880</v>
      </c>
    </row>
    <row r="3" spans="1:13" x14ac:dyDescent="0.25">
      <c r="A3" s="3">
        <v>2</v>
      </c>
      <c r="B3" s="3">
        <v>103</v>
      </c>
      <c r="C3" s="4">
        <v>1</v>
      </c>
      <c r="D3" s="3" t="str">
        <f>VLOOKUP(B3,products!$A$1:$B$7,2,0)</f>
        <v>Product C</v>
      </c>
      <c r="E3" s="3">
        <f>VLOOKUP(B3,products!$A$1:$C$7,3,0)</f>
        <v>200</v>
      </c>
      <c r="F3" s="3">
        <f t="shared" ref="F3:F8" si="0">SUM(E3*C3)</f>
        <v>200</v>
      </c>
      <c r="G3" s="3" t="str">
        <f>IF(ISNA(VLOOKUP(B3,products!$A$1:$C$7,1,0)),"NOT EXIST","EXIST")</f>
        <v>EXIST</v>
      </c>
      <c r="H3" s="3">
        <f>VLOOKUP(B3,products!$A$1:$C$7,3,0)</f>
        <v>200</v>
      </c>
      <c r="I3" s="3">
        <f t="shared" ref="I3:I8" si="1">SUM(E3-(E3*10%))</f>
        <v>180</v>
      </c>
      <c r="J3" s="3">
        <f t="shared" ref="J3:J8" si="2">SUM(C3*E3)</f>
        <v>200</v>
      </c>
      <c r="K3" s="3" t="b">
        <v>0</v>
      </c>
    </row>
    <row r="4" spans="1:13" x14ac:dyDescent="0.25">
      <c r="A4" s="3">
        <v>3</v>
      </c>
      <c r="B4" s="3">
        <v>105</v>
      </c>
      <c r="C4" s="4">
        <v>4</v>
      </c>
      <c r="D4" s="3" t="str">
        <f>VLOOKUP(B4,products!$A$1:$B$7,2,0)</f>
        <v>Product E</v>
      </c>
      <c r="E4" s="3">
        <f>VLOOKUP(B4,products!$A$1:$C$7,3,0)</f>
        <v>220</v>
      </c>
      <c r="F4" s="3">
        <f t="shared" si="0"/>
        <v>880</v>
      </c>
      <c r="G4" s="3" t="str">
        <f>IF(ISNA(VLOOKUP(B4,products!$A$1:$C$7,1,0)),"NOT EXIST","EXIST")</f>
        <v>EXIST</v>
      </c>
      <c r="H4" s="3">
        <f>VLOOKUP(B4,products!$A$1:$C$7,3,0)</f>
        <v>220</v>
      </c>
      <c r="I4" s="3">
        <f t="shared" si="1"/>
        <v>198</v>
      </c>
      <c r="J4" s="3">
        <f t="shared" si="2"/>
        <v>880</v>
      </c>
      <c r="K4" s="3" t="b">
        <v>0</v>
      </c>
    </row>
    <row r="5" spans="1:13" x14ac:dyDescent="0.25">
      <c r="A5" s="3">
        <v>4</v>
      </c>
      <c r="B5" s="3">
        <v>106</v>
      </c>
      <c r="C5" s="4">
        <v>3</v>
      </c>
      <c r="D5" s="3" t="str">
        <f>VLOOKUP(B5,products!$A$1:$B$7,2,0)</f>
        <v>Product F</v>
      </c>
      <c r="E5" s="3">
        <f>VLOOKUP(B5,products!$A$1:$C$7,3,0)</f>
        <v>130</v>
      </c>
      <c r="F5" s="3">
        <f t="shared" si="0"/>
        <v>390</v>
      </c>
      <c r="G5" s="3" t="str">
        <f>IF(ISNA(VLOOKUP(B5,products!$A$1:$C$7,1,0)),"NOT EXIST","EXIST")</f>
        <v>EXIST</v>
      </c>
      <c r="H5" s="3">
        <f>VLOOKUP(B5,products!$A$1:$C$7,3,0)</f>
        <v>130</v>
      </c>
      <c r="I5" s="3">
        <f t="shared" si="1"/>
        <v>117</v>
      </c>
      <c r="J5" s="3">
        <f t="shared" si="2"/>
        <v>390</v>
      </c>
      <c r="K5" s="3" t="b">
        <v>0</v>
      </c>
    </row>
    <row r="6" spans="1:13" x14ac:dyDescent="0.25">
      <c r="A6" s="3">
        <v>5</v>
      </c>
      <c r="B6" s="3">
        <v>102</v>
      </c>
      <c r="C6" s="4">
        <v>5</v>
      </c>
      <c r="D6" s="3" t="str">
        <f>VLOOKUP(B6,products!$A$1:$B$7,2,0)</f>
        <v>Product B</v>
      </c>
      <c r="E6" s="3">
        <f>VLOOKUP(B6,products!$A$1:$C$7,3,0)</f>
        <v>150</v>
      </c>
      <c r="F6" s="3">
        <f t="shared" si="0"/>
        <v>750</v>
      </c>
      <c r="G6" s="3" t="str">
        <f>IF(ISNA(VLOOKUP(B6,products!$A$1:$C$7,1,0)),"NOT EXIST","EXIST")</f>
        <v>EXIST</v>
      </c>
      <c r="H6" s="3">
        <f>VLOOKUP(B6,products!$A$1:$C$7,3,0)</f>
        <v>150</v>
      </c>
      <c r="I6" s="3">
        <f t="shared" si="1"/>
        <v>135</v>
      </c>
      <c r="J6" s="3">
        <f t="shared" si="2"/>
        <v>750</v>
      </c>
      <c r="K6" s="3" t="b">
        <v>0</v>
      </c>
    </row>
    <row r="7" spans="1:13" x14ac:dyDescent="0.25">
      <c r="A7" s="3">
        <v>6</v>
      </c>
      <c r="B7" s="3">
        <v>104</v>
      </c>
      <c r="C7" s="4">
        <v>6</v>
      </c>
      <c r="D7" s="3" t="str">
        <f>VLOOKUP(B7,products!$A$1:$B$7,2,0)</f>
        <v>Product D</v>
      </c>
      <c r="E7" s="3">
        <f>VLOOKUP(B7,products!$A$1:$C$7,3,0)</f>
        <v>90</v>
      </c>
      <c r="F7" s="3">
        <f t="shared" si="0"/>
        <v>540</v>
      </c>
      <c r="G7" s="3" t="str">
        <f>IF(ISNA(VLOOKUP(B7,products!$A$1:$C$7,1,0)),"NOT EXIST","EXIST")</f>
        <v>EXIST</v>
      </c>
      <c r="H7" s="3">
        <f>VLOOKUP(B7,products!$A$1:$C$7,3,0)</f>
        <v>90</v>
      </c>
      <c r="I7" s="3">
        <f t="shared" si="1"/>
        <v>81</v>
      </c>
      <c r="J7" s="3">
        <f t="shared" si="2"/>
        <v>540</v>
      </c>
      <c r="K7" s="3" t="b">
        <v>0</v>
      </c>
    </row>
    <row r="8" spans="1:13" x14ac:dyDescent="0.25">
      <c r="A8" s="3">
        <v>7</v>
      </c>
      <c r="B8" s="3">
        <v>109</v>
      </c>
      <c r="C8" s="3">
        <v>3</v>
      </c>
      <c r="D8" s="3" t="s">
        <v>20</v>
      </c>
      <c r="E8" s="3">
        <v>250</v>
      </c>
      <c r="F8" s="3">
        <f t="shared" si="0"/>
        <v>750</v>
      </c>
      <c r="G8" s="3" t="str">
        <f>IF(ISNA(VLOOKUP(B8,products!$A$1:$C$7,1,0)),"NOT EXIST","EXIST")</f>
        <v>NOT EXIST</v>
      </c>
    </row>
    <row r="11" spans="1:13" x14ac:dyDescent="0.25">
      <c r="A11" s="1"/>
    </row>
    <row r="13" spans="1:13" x14ac:dyDescent="0.25">
      <c r="A13" s="1"/>
      <c r="B13" s="1"/>
      <c r="C13" s="1"/>
      <c r="D13" s="1"/>
      <c r="F13" s="1"/>
      <c r="G13" s="1"/>
    </row>
    <row r="21" spans="1:21" x14ac:dyDescent="0.25">
      <c r="A21" s="1"/>
    </row>
    <row r="23" spans="1:21" x14ac:dyDescent="0.25">
      <c r="A23" s="1"/>
      <c r="B23" s="1"/>
      <c r="C23" s="1"/>
      <c r="E23" s="1"/>
    </row>
    <row r="32" spans="1:21" x14ac:dyDescent="0.25">
      <c r="N32" s="1"/>
      <c r="O32" s="1"/>
      <c r="P32" s="1"/>
      <c r="S32" s="1"/>
      <c r="T32" s="1"/>
      <c r="U32" s="1"/>
    </row>
    <row r="38" spans="17:17" x14ac:dyDescent="0.25">
      <c r="Q38" s="1"/>
    </row>
    <row r="39" spans="17:17" x14ac:dyDescent="0.25">
      <c r="Q39" s="1"/>
    </row>
    <row r="40" spans="17:17" x14ac:dyDescent="0.25">
      <c r="Q40" s="1"/>
    </row>
    <row r="41" spans="17:17" x14ac:dyDescent="0.25">
      <c r="Q41" s="1"/>
    </row>
  </sheetData>
  <dataValidations count="1">
    <dataValidation type="list" allowBlank="1" showInputMessage="1" showErrorMessage="1" sqref="E24 F14" xr:uid="{F7491615-C55A-44BE-9DDC-E23F5F73E44A}">
      <formula1>$B$2:$B$7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Tanishqua Roy</dc:creator>
  <cp:lastModifiedBy>Tanishqua Roy</cp:lastModifiedBy>
  <dcterms:created xsi:type="dcterms:W3CDTF">2026-05-21T06:21:04Z</dcterms:created>
  <dcterms:modified xsi:type="dcterms:W3CDTF">2026-05-26T17:51:16Z</dcterms:modified>
</cp:coreProperties>
</file>