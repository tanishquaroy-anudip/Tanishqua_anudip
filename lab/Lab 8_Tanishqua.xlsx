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\"/>
    </mc:Choice>
  </mc:AlternateContent>
  <xr:revisionPtr revIDLastSave="0" documentId="13_ncr:1_{6B65AA4D-7761-4C76-A09E-78969F157D20}" xr6:coauthVersionLast="47" xr6:coauthVersionMax="47" xr10:uidLastSave="{00000000-0000-0000-0000-000000000000}"/>
  <bookViews>
    <workbookView xWindow="-120" yWindow="-120" windowWidth="20730" windowHeight="11040" xr2:uid="{7D379527-728F-4735-990D-BC46F9FC6C2E}"/>
  </bookViews>
  <sheets>
    <sheet name="Sales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2" i="1" l="1"/>
  <c r="K32" i="1"/>
  <c r="L82" i="1"/>
  <c r="K72" i="1"/>
  <c r="K62" i="1"/>
  <c r="K52" i="1"/>
  <c r="K22" i="1"/>
  <c r="K12" i="1"/>
</calcChain>
</file>

<file path=xl/sharedStrings.xml><?xml version="1.0" encoding="utf-8"?>
<sst xmlns="http://schemas.openxmlformats.org/spreadsheetml/2006/main" count="213" uniqueCount="30">
  <si>
    <t>Product ID</t>
  </si>
  <si>
    <t>Product</t>
  </si>
  <si>
    <t>PRODA</t>
  </si>
  <si>
    <t>PRODB</t>
  </si>
  <si>
    <t>PRODC</t>
  </si>
  <si>
    <t>PRODD</t>
  </si>
  <si>
    <t>PRODE</t>
  </si>
  <si>
    <t>PRODF</t>
  </si>
  <si>
    <t>Category</t>
  </si>
  <si>
    <t>Electronics</t>
  </si>
  <si>
    <t>Furniture</t>
  </si>
  <si>
    <t>Clothing</t>
  </si>
  <si>
    <t>JAN sales</t>
  </si>
  <si>
    <t>FEB Sales</t>
  </si>
  <si>
    <t>MAR Sales</t>
  </si>
  <si>
    <t>APR Sales</t>
  </si>
  <si>
    <t>MAY Sales</t>
  </si>
  <si>
    <t>1. Use INDEX and MATCH to find the sales for Product C in March.</t>
  </si>
  <si>
    <t>2. Use INDEX and MATCH to find the category for Product E.</t>
  </si>
  <si>
    <t>3. Use INDEX and MATCH to find the maximum sales for Product B across all months.</t>
  </si>
  <si>
    <t>4. Use INDEX and MATCH to find the month with the maximum sales for Product A.</t>
  </si>
  <si>
    <t>5. Use INDEX, MATCH, and SUMIF to sum the sales for all products in the "Electronics" category for April.</t>
  </si>
  <si>
    <t>6. Use INDEX and MATCH to calculate the average sales for Product D across all months.</t>
  </si>
  <si>
    <t>7. Use INDEX and MATCH to find the sales for Product ID 105 in May.</t>
  </si>
  <si>
    <t>8. Use INDEX and MATCH to create a dynamic lookup where the user can input a product and a month, and the formula returns the corresponding sales.</t>
  </si>
  <si>
    <t>MAX Sales</t>
  </si>
  <si>
    <t>Avg Sales</t>
  </si>
  <si>
    <t>Month</t>
  </si>
  <si>
    <t>Sales</t>
  </si>
  <si>
    <t>month with max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</si>
</sst>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381F8-7975-4B22-A6AF-62950466DCE2}">
  <dimension ref="A1:L87"/>
  <sheetViews>
    <sheetView tabSelected="1" topLeftCell="A65" workbookViewId="0">
      <selection activeCell="L85" sqref="L85"/>
    </sheetView>
  </sheetViews>
  <sheetFormatPr defaultRowHeight="15" x14ac:dyDescent="0.25"/>
  <cols>
    <col min="1" max="1" width="10.140625" bestFit="1" customWidth="1"/>
    <col min="2" max="2" width="7.85546875" bestFit="1" customWidth="1"/>
    <col min="3" max="3" width="10.5703125" bestFit="1" customWidth="1"/>
    <col min="4" max="4" width="9.28515625" bestFit="1" customWidth="1"/>
    <col min="6" max="6" width="10.28515625" bestFit="1" customWidth="1"/>
    <col min="7" max="7" width="9.5703125" bestFit="1" customWidth="1"/>
    <col min="8" max="8" width="10.28515625" bestFit="1" customWidth="1"/>
    <col min="10" max="10" width="10.5703125" bestFit="1" customWidth="1"/>
    <col min="11" max="11" width="20.5703125" bestFit="1" customWidth="1"/>
  </cols>
  <sheetData>
    <row r="1" spans="1:11" x14ac:dyDescent="0.25">
      <c r="A1" s="2" t="s">
        <v>0</v>
      </c>
      <c r="B1" s="2" t="s">
        <v>1</v>
      </c>
      <c r="C1" s="2" t="s">
        <v>8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</row>
    <row r="2" spans="1:11" x14ac:dyDescent="0.25">
      <c r="A2" s="1">
        <v>101</v>
      </c>
      <c r="B2" s="1" t="s">
        <v>2</v>
      </c>
      <c r="C2" s="1" t="s">
        <v>9</v>
      </c>
      <c r="D2" s="1">
        <v>120</v>
      </c>
      <c r="E2" s="1">
        <v>130</v>
      </c>
      <c r="F2" s="1">
        <v>140</v>
      </c>
      <c r="G2" s="1">
        <v>150</v>
      </c>
      <c r="H2" s="1">
        <v>160</v>
      </c>
    </row>
    <row r="3" spans="1:11" x14ac:dyDescent="0.25">
      <c r="A3" s="1">
        <v>102</v>
      </c>
      <c r="B3" s="1" t="s">
        <v>3</v>
      </c>
      <c r="C3" s="1" t="s">
        <v>10</v>
      </c>
      <c r="D3" s="1">
        <v>150</v>
      </c>
      <c r="E3" s="1">
        <v>160</v>
      </c>
      <c r="F3" s="1">
        <v>170</v>
      </c>
      <c r="G3" s="1">
        <v>180</v>
      </c>
      <c r="H3" s="1">
        <v>190</v>
      </c>
    </row>
    <row r="4" spans="1:11" x14ac:dyDescent="0.25">
      <c r="A4" s="1">
        <v>103</v>
      </c>
      <c r="B4" s="1" t="s">
        <v>4</v>
      </c>
      <c r="C4" s="1" t="s">
        <v>9</v>
      </c>
      <c r="D4" s="1">
        <v>200</v>
      </c>
      <c r="E4" s="1">
        <v>210</v>
      </c>
      <c r="F4" s="1">
        <v>220</v>
      </c>
      <c r="G4" s="1">
        <v>230</v>
      </c>
      <c r="H4" s="1">
        <v>240</v>
      </c>
    </row>
    <row r="5" spans="1:11" x14ac:dyDescent="0.25">
      <c r="A5" s="1">
        <v>104</v>
      </c>
      <c r="B5" s="1" t="s">
        <v>5</v>
      </c>
      <c r="C5" s="1" t="s">
        <v>11</v>
      </c>
      <c r="D5" s="1">
        <v>90</v>
      </c>
      <c r="E5" s="1">
        <v>100</v>
      </c>
      <c r="F5" s="1">
        <v>110</v>
      </c>
      <c r="G5" s="1">
        <v>120</v>
      </c>
      <c r="H5" s="1">
        <v>130</v>
      </c>
    </row>
    <row r="6" spans="1:11" x14ac:dyDescent="0.25">
      <c r="A6" s="1">
        <v>105</v>
      </c>
      <c r="B6" s="1" t="s">
        <v>6</v>
      </c>
      <c r="C6" s="1" t="s">
        <v>10</v>
      </c>
      <c r="D6" s="1">
        <v>220</v>
      </c>
      <c r="E6" s="1">
        <v>230</v>
      </c>
      <c r="F6" s="1">
        <v>240</v>
      </c>
      <c r="G6" s="1">
        <v>250</v>
      </c>
      <c r="H6" s="1">
        <v>260</v>
      </c>
    </row>
    <row r="7" spans="1:11" x14ac:dyDescent="0.25">
      <c r="A7" s="1">
        <v>106</v>
      </c>
      <c r="B7" s="1" t="s">
        <v>7</v>
      </c>
      <c r="C7" s="1" t="s">
        <v>9</v>
      </c>
      <c r="D7" s="1">
        <v>130</v>
      </c>
      <c r="E7" s="1">
        <v>140</v>
      </c>
      <c r="F7" s="1">
        <v>150</v>
      </c>
      <c r="G7" s="1">
        <v>160</v>
      </c>
      <c r="H7" s="1">
        <v>170</v>
      </c>
    </row>
    <row r="9" spans="1:11" x14ac:dyDescent="0.25">
      <c r="A9" t="s">
        <v>17</v>
      </c>
    </row>
    <row r="11" spans="1:11" x14ac:dyDescent="0.25">
      <c r="A11" s="2" t="s">
        <v>0</v>
      </c>
      <c r="B11" s="2" t="s">
        <v>1</v>
      </c>
      <c r="C11" s="2" t="s">
        <v>8</v>
      </c>
      <c r="D11" s="2" t="s">
        <v>12</v>
      </c>
      <c r="E11" s="2" t="s">
        <v>13</v>
      </c>
      <c r="F11" s="2" t="s">
        <v>14</v>
      </c>
      <c r="G11" s="2" t="s">
        <v>15</v>
      </c>
      <c r="H11" s="2" t="s">
        <v>16</v>
      </c>
      <c r="J11" s="2" t="s">
        <v>1</v>
      </c>
      <c r="K11" s="2" t="s">
        <v>14</v>
      </c>
    </row>
    <row r="12" spans="1:11" x14ac:dyDescent="0.25">
      <c r="A12" s="1">
        <v>101</v>
      </c>
      <c r="B12" s="1" t="s">
        <v>2</v>
      </c>
      <c r="C12" s="1" t="s">
        <v>9</v>
      </c>
      <c r="D12" s="1">
        <v>120</v>
      </c>
      <c r="E12" s="1">
        <v>130</v>
      </c>
      <c r="F12" s="1">
        <v>140</v>
      </c>
      <c r="G12" s="1">
        <v>150</v>
      </c>
      <c r="H12" s="1">
        <v>160</v>
      </c>
      <c r="J12" s="1" t="s">
        <v>4</v>
      </c>
      <c r="K12" s="1">
        <f>INDEX(F11:F17,MATCH(J12,B11:B17,0))</f>
        <v>220</v>
      </c>
    </row>
    <row r="13" spans="1:11" x14ac:dyDescent="0.25">
      <c r="A13" s="1">
        <v>102</v>
      </c>
      <c r="B13" s="1" t="s">
        <v>3</v>
      </c>
      <c r="C13" s="1" t="s">
        <v>10</v>
      </c>
      <c r="D13" s="1">
        <v>150</v>
      </c>
      <c r="E13" s="1">
        <v>160</v>
      </c>
      <c r="F13" s="1">
        <v>170</v>
      </c>
      <c r="G13" s="1">
        <v>180</v>
      </c>
      <c r="H13" s="1">
        <v>190</v>
      </c>
    </row>
    <row r="14" spans="1:11" x14ac:dyDescent="0.25">
      <c r="A14" s="1">
        <v>103</v>
      </c>
      <c r="B14" s="1" t="s">
        <v>4</v>
      </c>
      <c r="C14" s="1" t="s">
        <v>9</v>
      </c>
      <c r="D14" s="1">
        <v>200</v>
      </c>
      <c r="E14" s="1">
        <v>210</v>
      </c>
      <c r="F14" s="1">
        <v>220</v>
      </c>
      <c r="G14" s="1">
        <v>230</v>
      </c>
      <c r="H14" s="1">
        <v>240</v>
      </c>
    </row>
    <row r="15" spans="1:11" x14ac:dyDescent="0.25">
      <c r="A15" s="1">
        <v>104</v>
      </c>
      <c r="B15" s="1" t="s">
        <v>5</v>
      </c>
      <c r="C15" s="1" t="s">
        <v>11</v>
      </c>
      <c r="D15" s="1">
        <v>90</v>
      </c>
      <c r="E15" s="1">
        <v>100</v>
      </c>
      <c r="F15" s="1">
        <v>110</v>
      </c>
      <c r="G15" s="1">
        <v>120</v>
      </c>
      <c r="H15" s="1">
        <v>130</v>
      </c>
    </row>
    <row r="16" spans="1:11" x14ac:dyDescent="0.25">
      <c r="A16" s="1">
        <v>105</v>
      </c>
      <c r="B16" s="1" t="s">
        <v>6</v>
      </c>
      <c r="C16" s="1" t="s">
        <v>10</v>
      </c>
      <c r="D16" s="1">
        <v>220</v>
      </c>
      <c r="E16" s="1">
        <v>230</v>
      </c>
      <c r="F16" s="1">
        <v>240</v>
      </c>
      <c r="G16" s="1">
        <v>250</v>
      </c>
      <c r="H16" s="1">
        <v>260</v>
      </c>
    </row>
    <row r="17" spans="1:11" x14ac:dyDescent="0.25">
      <c r="A17" s="1">
        <v>106</v>
      </c>
      <c r="B17" s="1" t="s">
        <v>7</v>
      </c>
      <c r="C17" s="1" t="s">
        <v>9</v>
      </c>
      <c r="D17" s="1">
        <v>130</v>
      </c>
      <c r="E17" s="1">
        <v>140</v>
      </c>
      <c r="F17" s="1">
        <v>150</v>
      </c>
      <c r="G17" s="1">
        <v>160</v>
      </c>
      <c r="H17" s="1">
        <v>170</v>
      </c>
    </row>
    <row r="19" spans="1:11" x14ac:dyDescent="0.25">
      <c r="A19" t="s">
        <v>18</v>
      </c>
    </row>
    <row r="21" spans="1:11" x14ac:dyDescent="0.25">
      <c r="A21" s="2" t="s">
        <v>0</v>
      </c>
      <c r="B21" s="2" t="s">
        <v>1</v>
      </c>
      <c r="C21" s="2" t="s">
        <v>8</v>
      </c>
      <c r="D21" s="2" t="s">
        <v>12</v>
      </c>
      <c r="E21" s="2" t="s">
        <v>13</v>
      </c>
      <c r="F21" s="2" t="s">
        <v>14</v>
      </c>
      <c r="G21" s="2" t="s">
        <v>15</v>
      </c>
      <c r="H21" s="2" t="s">
        <v>16</v>
      </c>
      <c r="J21" s="2" t="s">
        <v>1</v>
      </c>
      <c r="K21" s="2" t="s">
        <v>8</v>
      </c>
    </row>
    <row r="22" spans="1:11" x14ac:dyDescent="0.25">
      <c r="A22" s="1">
        <v>101</v>
      </c>
      <c r="B22" s="1" t="s">
        <v>2</v>
      </c>
      <c r="C22" s="1" t="s">
        <v>9</v>
      </c>
      <c r="D22" s="1">
        <v>120</v>
      </c>
      <c r="E22" s="1">
        <v>130</v>
      </c>
      <c r="F22" s="1">
        <v>140</v>
      </c>
      <c r="G22" s="1">
        <v>150</v>
      </c>
      <c r="H22" s="1">
        <v>160</v>
      </c>
      <c r="J22" s="1" t="s">
        <v>6</v>
      </c>
      <c r="K22" s="1" t="str">
        <f>INDEX(C21:C27,MATCH(J22,B21:B27,0))</f>
        <v>Furniture</v>
      </c>
    </row>
    <row r="23" spans="1:11" x14ac:dyDescent="0.25">
      <c r="A23" s="1">
        <v>102</v>
      </c>
      <c r="B23" s="1" t="s">
        <v>3</v>
      </c>
      <c r="C23" s="1" t="s">
        <v>10</v>
      </c>
      <c r="D23" s="1">
        <v>150</v>
      </c>
      <c r="E23" s="1">
        <v>160</v>
      </c>
      <c r="F23" s="1">
        <v>170</v>
      </c>
      <c r="G23" s="1">
        <v>180</v>
      </c>
      <c r="H23" s="1">
        <v>190</v>
      </c>
    </row>
    <row r="24" spans="1:11" x14ac:dyDescent="0.25">
      <c r="A24" s="1">
        <v>103</v>
      </c>
      <c r="B24" s="1" t="s">
        <v>4</v>
      </c>
      <c r="C24" s="1" t="s">
        <v>9</v>
      </c>
      <c r="D24" s="1">
        <v>200</v>
      </c>
      <c r="E24" s="1">
        <v>210</v>
      </c>
      <c r="F24" s="1">
        <v>220</v>
      </c>
      <c r="G24" s="1">
        <v>230</v>
      </c>
      <c r="H24" s="1">
        <v>240</v>
      </c>
    </row>
    <row r="25" spans="1:11" x14ac:dyDescent="0.25">
      <c r="A25" s="1">
        <v>104</v>
      </c>
      <c r="B25" s="1" t="s">
        <v>5</v>
      </c>
      <c r="C25" s="1" t="s">
        <v>11</v>
      </c>
      <c r="D25" s="1">
        <v>90</v>
      </c>
      <c r="E25" s="1">
        <v>100</v>
      </c>
      <c r="F25" s="1">
        <v>110</v>
      </c>
      <c r="G25" s="1">
        <v>120</v>
      </c>
      <c r="H25" s="1">
        <v>130</v>
      </c>
    </row>
    <row r="26" spans="1:11" x14ac:dyDescent="0.25">
      <c r="A26" s="1">
        <v>105</v>
      </c>
      <c r="B26" s="1" t="s">
        <v>6</v>
      </c>
      <c r="C26" s="1" t="s">
        <v>10</v>
      </c>
      <c r="D26" s="1">
        <v>220</v>
      </c>
      <c r="E26" s="1">
        <v>230</v>
      </c>
      <c r="F26" s="1">
        <v>240</v>
      </c>
      <c r="G26" s="1">
        <v>250</v>
      </c>
      <c r="H26" s="1">
        <v>260</v>
      </c>
    </row>
    <row r="27" spans="1:11" x14ac:dyDescent="0.25">
      <c r="A27" s="1">
        <v>106</v>
      </c>
      <c r="B27" s="1" t="s">
        <v>7</v>
      </c>
      <c r="C27" s="1" t="s">
        <v>9</v>
      </c>
      <c r="D27" s="1">
        <v>130</v>
      </c>
      <c r="E27" s="1">
        <v>140</v>
      </c>
      <c r="F27" s="1">
        <v>150</v>
      </c>
      <c r="G27" s="1">
        <v>160</v>
      </c>
      <c r="H27" s="1">
        <v>170</v>
      </c>
    </row>
    <row r="29" spans="1:11" x14ac:dyDescent="0.25">
      <c r="A29" t="s">
        <v>19</v>
      </c>
    </row>
    <row r="31" spans="1:11" x14ac:dyDescent="0.25">
      <c r="A31" s="2" t="s">
        <v>0</v>
      </c>
      <c r="B31" s="2" t="s">
        <v>1</v>
      </c>
      <c r="C31" s="2" t="s">
        <v>8</v>
      </c>
      <c r="D31" s="2" t="s">
        <v>12</v>
      </c>
      <c r="E31" s="2" t="s">
        <v>13</v>
      </c>
      <c r="F31" s="2" t="s">
        <v>14</v>
      </c>
      <c r="G31" s="2" t="s">
        <v>15</v>
      </c>
      <c r="H31" s="2" t="s">
        <v>16</v>
      </c>
      <c r="J31" s="2" t="s">
        <v>1</v>
      </c>
      <c r="K31" s="3" t="s">
        <v>25</v>
      </c>
    </row>
    <row r="32" spans="1:11" x14ac:dyDescent="0.25">
      <c r="A32" s="1">
        <v>101</v>
      </c>
      <c r="B32" s="1" t="s">
        <v>2</v>
      </c>
      <c r="C32" s="1" t="s">
        <v>9</v>
      </c>
      <c r="D32" s="1">
        <v>120</v>
      </c>
      <c r="E32" s="1">
        <v>130</v>
      </c>
      <c r="F32" s="1">
        <v>140</v>
      </c>
      <c r="G32" s="1">
        <v>150</v>
      </c>
      <c r="H32" s="1">
        <v>160</v>
      </c>
      <c r="J32" s="1" t="s">
        <v>3</v>
      </c>
      <c r="K32" s="1">
        <f>MAX(INDEX(D31:H37,MATCH(J32,B31:B37,0),))</f>
        <v>190</v>
      </c>
    </row>
    <row r="33" spans="1:11" x14ac:dyDescent="0.25">
      <c r="A33" s="1">
        <v>102</v>
      </c>
      <c r="B33" s="1" t="s">
        <v>3</v>
      </c>
      <c r="C33" s="1" t="s">
        <v>10</v>
      </c>
      <c r="D33" s="1">
        <v>150</v>
      </c>
      <c r="E33" s="1">
        <v>160</v>
      </c>
      <c r="F33" s="1">
        <v>170</v>
      </c>
      <c r="G33" s="1">
        <v>180</v>
      </c>
      <c r="H33" s="1">
        <v>190</v>
      </c>
    </row>
    <row r="34" spans="1:11" x14ac:dyDescent="0.25">
      <c r="A34" s="1">
        <v>103</v>
      </c>
      <c r="B34" s="1" t="s">
        <v>4</v>
      </c>
      <c r="C34" s="1" t="s">
        <v>9</v>
      </c>
      <c r="D34" s="1">
        <v>200</v>
      </c>
      <c r="E34" s="1">
        <v>210</v>
      </c>
      <c r="F34" s="1">
        <v>220</v>
      </c>
      <c r="G34" s="1">
        <v>230</v>
      </c>
      <c r="H34" s="1">
        <v>240</v>
      </c>
    </row>
    <row r="35" spans="1:11" x14ac:dyDescent="0.25">
      <c r="A35" s="1">
        <v>104</v>
      </c>
      <c r="B35" s="1" t="s">
        <v>5</v>
      </c>
      <c r="C35" s="1" t="s">
        <v>11</v>
      </c>
      <c r="D35" s="1">
        <v>90</v>
      </c>
      <c r="E35" s="1">
        <v>100</v>
      </c>
      <c r="F35" s="1">
        <v>110</v>
      </c>
      <c r="G35" s="1">
        <v>120</v>
      </c>
      <c r="H35" s="1">
        <v>130</v>
      </c>
    </row>
    <row r="36" spans="1:11" x14ac:dyDescent="0.25">
      <c r="A36" s="1">
        <v>105</v>
      </c>
      <c r="B36" s="1" t="s">
        <v>6</v>
      </c>
      <c r="C36" s="1" t="s">
        <v>10</v>
      </c>
      <c r="D36" s="1">
        <v>220</v>
      </c>
      <c r="E36" s="1">
        <v>230</v>
      </c>
      <c r="F36" s="1">
        <v>240</v>
      </c>
      <c r="G36" s="1">
        <v>250</v>
      </c>
      <c r="H36" s="1">
        <v>260</v>
      </c>
    </row>
    <row r="37" spans="1:11" x14ac:dyDescent="0.25">
      <c r="A37" s="1">
        <v>106</v>
      </c>
      <c r="B37" s="1" t="s">
        <v>7</v>
      </c>
      <c r="C37" s="1" t="s">
        <v>9</v>
      </c>
      <c r="D37" s="1">
        <v>130</v>
      </c>
      <c r="E37" s="1">
        <v>140</v>
      </c>
      <c r="F37" s="1">
        <v>150</v>
      </c>
      <c r="G37" s="1">
        <v>160</v>
      </c>
      <c r="H37" s="1">
        <v>170</v>
      </c>
    </row>
    <row r="39" spans="1:11" x14ac:dyDescent="0.25">
      <c r="A39" t="s">
        <v>20</v>
      </c>
    </row>
    <row r="41" spans="1:11" x14ac:dyDescent="0.25">
      <c r="A41" s="2" t="s">
        <v>0</v>
      </c>
      <c r="B41" s="2" t="s">
        <v>1</v>
      </c>
      <c r="C41" s="2" t="s">
        <v>8</v>
      </c>
      <c r="D41" s="2" t="s">
        <v>12</v>
      </c>
      <c r="E41" s="2" t="s">
        <v>13</v>
      </c>
      <c r="F41" s="2" t="s">
        <v>14</v>
      </c>
      <c r="G41" s="2" t="s">
        <v>15</v>
      </c>
      <c r="H41" s="2" t="s">
        <v>16</v>
      </c>
      <c r="J41" s="2" t="s">
        <v>1</v>
      </c>
      <c r="K41" s="3" t="s">
        <v>29</v>
      </c>
    </row>
    <row r="42" spans="1:11" x14ac:dyDescent="0.25">
      <c r="A42" s="1">
        <v>101</v>
      </c>
      <c r="B42" s="1" t="s">
        <v>2</v>
      </c>
      <c r="C42" s="1" t="s">
        <v>9</v>
      </c>
      <c r="D42" s="1">
        <v>120</v>
      </c>
      <c r="E42" s="1">
        <v>130</v>
      </c>
      <c r="F42" s="1">
        <v>140</v>
      </c>
      <c r="G42" s="1">
        <v>150</v>
      </c>
      <c r="H42" s="1">
        <v>160</v>
      </c>
      <c r="J42" s="1" t="s">
        <v>2</v>
      </c>
      <c r="K42" s="1" t="str">
        <f>INDEX(D41:H41,MATCH(MAX(D42:H42),D42:H42,0))</f>
        <v>MAY Sales</v>
      </c>
    </row>
    <row r="43" spans="1:11" x14ac:dyDescent="0.25">
      <c r="A43" s="1">
        <v>102</v>
      </c>
      <c r="B43" s="1" t="s">
        <v>3</v>
      </c>
      <c r="C43" s="1" t="s">
        <v>10</v>
      </c>
      <c r="D43" s="1">
        <v>150</v>
      </c>
      <c r="E43" s="1">
        <v>160</v>
      </c>
      <c r="F43" s="1">
        <v>170</v>
      </c>
      <c r="G43" s="1">
        <v>180</v>
      </c>
      <c r="H43" s="1">
        <v>190</v>
      </c>
    </row>
    <row r="44" spans="1:11" x14ac:dyDescent="0.25">
      <c r="A44" s="1">
        <v>103</v>
      </c>
      <c r="B44" s="1" t="s">
        <v>4</v>
      </c>
      <c r="C44" s="1" t="s">
        <v>9</v>
      </c>
      <c r="D44" s="1">
        <v>200</v>
      </c>
      <c r="E44" s="1">
        <v>210</v>
      </c>
      <c r="F44" s="1">
        <v>220</v>
      </c>
      <c r="G44" s="1">
        <v>230</v>
      </c>
      <c r="H44" s="1">
        <v>240</v>
      </c>
    </row>
    <row r="45" spans="1:11" x14ac:dyDescent="0.25">
      <c r="A45" s="1">
        <v>104</v>
      </c>
      <c r="B45" s="1" t="s">
        <v>5</v>
      </c>
      <c r="C45" s="1" t="s">
        <v>11</v>
      </c>
      <c r="D45" s="1">
        <v>90</v>
      </c>
      <c r="E45" s="1">
        <v>100</v>
      </c>
      <c r="F45" s="1">
        <v>110</v>
      </c>
      <c r="G45" s="1">
        <v>120</v>
      </c>
      <c r="H45" s="1">
        <v>130</v>
      </c>
    </row>
    <row r="46" spans="1:11" x14ac:dyDescent="0.25">
      <c r="A46" s="1">
        <v>105</v>
      </c>
      <c r="B46" s="1" t="s">
        <v>6</v>
      </c>
      <c r="C46" s="1" t="s">
        <v>10</v>
      </c>
      <c r="D46" s="1">
        <v>220</v>
      </c>
      <c r="E46" s="1">
        <v>230</v>
      </c>
      <c r="F46" s="1">
        <v>240</v>
      </c>
      <c r="G46" s="1">
        <v>250</v>
      </c>
      <c r="H46" s="1">
        <v>260</v>
      </c>
    </row>
    <row r="47" spans="1:11" x14ac:dyDescent="0.25">
      <c r="A47" s="1">
        <v>106</v>
      </c>
      <c r="B47" s="1" t="s">
        <v>7</v>
      </c>
      <c r="C47" s="1" t="s">
        <v>9</v>
      </c>
      <c r="D47" s="1">
        <v>130</v>
      </c>
      <c r="E47" s="1">
        <v>140</v>
      </c>
      <c r="F47" s="1">
        <v>150</v>
      </c>
      <c r="G47" s="1">
        <v>160</v>
      </c>
      <c r="H47" s="1">
        <v>170</v>
      </c>
    </row>
    <row r="49" spans="1:11" x14ac:dyDescent="0.25">
      <c r="A49" t="s">
        <v>21</v>
      </c>
    </row>
    <row r="51" spans="1:11" x14ac:dyDescent="0.25">
      <c r="A51" s="2" t="s">
        <v>0</v>
      </c>
      <c r="B51" s="2" t="s">
        <v>1</v>
      </c>
      <c r="C51" s="2" t="s">
        <v>8</v>
      </c>
      <c r="D51" s="2" t="s">
        <v>12</v>
      </c>
      <c r="E51" s="2" t="s">
        <v>13</v>
      </c>
      <c r="F51" s="2" t="s">
        <v>14</v>
      </c>
      <c r="G51" s="2" t="s">
        <v>15</v>
      </c>
      <c r="H51" s="2" t="s">
        <v>16</v>
      </c>
      <c r="J51" s="2" t="s">
        <v>8</v>
      </c>
      <c r="K51" s="2" t="s">
        <v>15</v>
      </c>
    </row>
    <row r="52" spans="1:11" x14ac:dyDescent="0.25">
      <c r="A52" s="1">
        <v>101</v>
      </c>
      <c r="B52" s="1" t="s">
        <v>2</v>
      </c>
      <c r="C52" s="1" t="s">
        <v>9</v>
      </c>
      <c r="D52" s="1">
        <v>120</v>
      </c>
      <c r="E52" s="1">
        <v>130</v>
      </c>
      <c r="F52" s="1">
        <v>140</v>
      </c>
      <c r="G52" s="1">
        <v>150</v>
      </c>
      <c r="H52" s="1">
        <v>160</v>
      </c>
      <c r="J52" s="1" t="s">
        <v>9</v>
      </c>
      <c r="K52" s="1">
        <f>SUMIF(C52:C57,"Electronics",G52:G57)</f>
        <v>540</v>
      </c>
    </row>
    <row r="53" spans="1:11" x14ac:dyDescent="0.25">
      <c r="A53" s="1">
        <v>102</v>
      </c>
      <c r="B53" s="1" t="s">
        <v>3</v>
      </c>
      <c r="C53" s="1" t="s">
        <v>10</v>
      </c>
      <c r="D53" s="1">
        <v>150</v>
      </c>
      <c r="E53" s="1">
        <v>160</v>
      </c>
      <c r="F53" s="1">
        <v>170</v>
      </c>
      <c r="G53" s="1">
        <v>180</v>
      </c>
      <c r="H53" s="1">
        <v>190</v>
      </c>
    </row>
    <row r="54" spans="1:11" x14ac:dyDescent="0.25">
      <c r="A54" s="1">
        <v>103</v>
      </c>
      <c r="B54" s="1" t="s">
        <v>4</v>
      </c>
      <c r="C54" s="1" t="s">
        <v>9</v>
      </c>
      <c r="D54" s="1">
        <v>200</v>
      </c>
      <c r="E54" s="1">
        <v>210</v>
      </c>
      <c r="F54" s="1">
        <v>220</v>
      </c>
      <c r="G54" s="1">
        <v>230</v>
      </c>
      <c r="H54" s="1">
        <v>240</v>
      </c>
    </row>
    <row r="55" spans="1:11" x14ac:dyDescent="0.25">
      <c r="A55" s="1">
        <v>104</v>
      </c>
      <c r="B55" s="1" t="s">
        <v>5</v>
      </c>
      <c r="C55" s="1" t="s">
        <v>11</v>
      </c>
      <c r="D55" s="1">
        <v>90</v>
      </c>
      <c r="E55" s="1">
        <v>100</v>
      </c>
      <c r="F55" s="1">
        <v>110</v>
      </c>
      <c r="G55" s="1">
        <v>120</v>
      </c>
      <c r="H55" s="1">
        <v>130</v>
      </c>
    </row>
    <row r="56" spans="1:11" x14ac:dyDescent="0.25">
      <c r="A56" s="1">
        <v>105</v>
      </c>
      <c r="B56" s="1" t="s">
        <v>6</v>
      </c>
      <c r="C56" s="1" t="s">
        <v>10</v>
      </c>
      <c r="D56" s="1">
        <v>220</v>
      </c>
      <c r="E56" s="1">
        <v>230</v>
      </c>
      <c r="F56" s="1">
        <v>240</v>
      </c>
      <c r="G56" s="1">
        <v>250</v>
      </c>
      <c r="H56" s="1">
        <v>260</v>
      </c>
    </row>
    <row r="57" spans="1:11" x14ac:dyDescent="0.25">
      <c r="A57" s="1">
        <v>106</v>
      </c>
      <c r="B57" s="1" t="s">
        <v>7</v>
      </c>
      <c r="C57" s="1" t="s">
        <v>9</v>
      </c>
      <c r="D57" s="1">
        <v>130</v>
      </c>
      <c r="E57" s="1">
        <v>140</v>
      </c>
      <c r="F57" s="1">
        <v>150</v>
      </c>
      <c r="G57" s="1">
        <v>160</v>
      </c>
      <c r="H57" s="1">
        <v>170</v>
      </c>
    </row>
    <row r="59" spans="1:11" x14ac:dyDescent="0.25">
      <c r="A59" t="s">
        <v>22</v>
      </c>
    </row>
    <row r="61" spans="1:11" x14ac:dyDescent="0.25">
      <c r="A61" s="2" t="s">
        <v>0</v>
      </c>
      <c r="B61" s="2" t="s">
        <v>1</v>
      </c>
      <c r="C61" s="2" t="s">
        <v>8</v>
      </c>
      <c r="D61" s="2" t="s">
        <v>12</v>
      </c>
      <c r="E61" s="2" t="s">
        <v>13</v>
      </c>
      <c r="F61" s="2" t="s">
        <v>14</v>
      </c>
      <c r="G61" s="2" t="s">
        <v>15</v>
      </c>
      <c r="H61" s="2" t="s">
        <v>16</v>
      </c>
      <c r="J61" s="2" t="s">
        <v>1</v>
      </c>
      <c r="K61" s="3" t="s">
        <v>26</v>
      </c>
    </row>
    <row r="62" spans="1:11" x14ac:dyDescent="0.25">
      <c r="A62" s="1">
        <v>101</v>
      </c>
      <c r="B62" s="1" t="s">
        <v>2</v>
      </c>
      <c r="C62" s="1" t="s">
        <v>9</v>
      </c>
      <c r="D62" s="1">
        <v>120</v>
      </c>
      <c r="E62" s="1">
        <v>130</v>
      </c>
      <c r="F62" s="1">
        <v>140</v>
      </c>
      <c r="G62" s="1">
        <v>150</v>
      </c>
      <c r="H62" s="1">
        <v>160</v>
      </c>
      <c r="J62" s="1" t="s">
        <v>5</v>
      </c>
      <c r="K62" s="1">
        <f>AVERAGE(INDEX(D62:H67,MATCH(J62,B62:B67,0),0))</f>
        <v>110</v>
      </c>
    </row>
    <row r="63" spans="1:11" x14ac:dyDescent="0.25">
      <c r="A63" s="1">
        <v>102</v>
      </c>
      <c r="B63" s="1" t="s">
        <v>3</v>
      </c>
      <c r="C63" s="1" t="s">
        <v>10</v>
      </c>
      <c r="D63" s="1">
        <v>150</v>
      </c>
      <c r="E63" s="1">
        <v>160</v>
      </c>
      <c r="F63" s="1">
        <v>170</v>
      </c>
      <c r="G63" s="1">
        <v>180</v>
      </c>
      <c r="H63" s="1">
        <v>190</v>
      </c>
    </row>
    <row r="64" spans="1:11" x14ac:dyDescent="0.25">
      <c r="A64" s="1">
        <v>103</v>
      </c>
      <c r="B64" s="1" t="s">
        <v>4</v>
      </c>
      <c r="C64" s="1" t="s">
        <v>9</v>
      </c>
      <c r="D64" s="1">
        <v>200</v>
      </c>
      <c r="E64" s="1">
        <v>210</v>
      </c>
      <c r="F64" s="1">
        <v>220</v>
      </c>
      <c r="G64" s="1">
        <v>230</v>
      </c>
      <c r="H64" s="1">
        <v>240</v>
      </c>
    </row>
    <row r="65" spans="1:11" x14ac:dyDescent="0.25">
      <c r="A65" s="1">
        <v>104</v>
      </c>
      <c r="B65" s="1" t="s">
        <v>5</v>
      </c>
      <c r="C65" s="1" t="s">
        <v>11</v>
      </c>
      <c r="D65" s="1">
        <v>90</v>
      </c>
      <c r="E65" s="1">
        <v>100</v>
      </c>
      <c r="F65" s="1">
        <v>110</v>
      </c>
      <c r="G65" s="1">
        <v>120</v>
      </c>
      <c r="H65" s="1">
        <v>130</v>
      </c>
    </row>
    <row r="66" spans="1:11" x14ac:dyDescent="0.25">
      <c r="A66" s="1">
        <v>105</v>
      </c>
      <c r="B66" s="1" t="s">
        <v>6</v>
      </c>
      <c r="C66" s="1" t="s">
        <v>10</v>
      </c>
      <c r="D66" s="1">
        <v>220</v>
      </c>
      <c r="E66" s="1">
        <v>230</v>
      </c>
      <c r="F66" s="1">
        <v>240</v>
      </c>
      <c r="G66" s="1">
        <v>250</v>
      </c>
      <c r="H66" s="1">
        <v>260</v>
      </c>
    </row>
    <row r="67" spans="1:11" x14ac:dyDescent="0.25">
      <c r="A67" s="1">
        <v>106</v>
      </c>
      <c r="B67" s="1" t="s">
        <v>7</v>
      </c>
      <c r="C67" s="1" t="s">
        <v>9</v>
      </c>
      <c r="D67" s="1">
        <v>130</v>
      </c>
      <c r="E67" s="1">
        <v>140</v>
      </c>
      <c r="F67" s="1">
        <v>150</v>
      </c>
      <c r="G67" s="1">
        <v>160</v>
      </c>
      <c r="H67" s="1">
        <v>170</v>
      </c>
    </row>
    <row r="69" spans="1:11" x14ac:dyDescent="0.25">
      <c r="A69" t="s">
        <v>23</v>
      </c>
    </row>
    <row r="71" spans="1:11" x14ac:dyDescent="0.25">
      <c r="A71" s="2" t="s">
        <v>0</v>
      </c>
      <c r="B71" s="2" t="s">
        <v>1</v>
      </c>
      <c r="C71" s="2" t="s">
        <v>8</v>
      </c>
      <c r="D71" s="2" t="s">
        <v>12</v>
      </c>
      <c r="E71" s="2" t="s">
        <v>13</v>
      </c>
      <c r="F71" s="2" t="s">
        <v>14</v>
      </c>
      <c r="G71" s="2" t="s">
        <v>15</v>
      </c>
      <c r="H71" s="2" t="s">
        <v>16</v>
      </c>
      <c r="J71" s="2" t="s">
        <v>0</v>
      </c>
      <c r="K71" s="2" t="s">
        <v>16</v>
      </c>
    </row>
    <row r="72" spans="1:11" x14ac:dyDescent="0.25">
      <c r="A72" s="1">
        <v>101</v>
      </c>
      <c r="B72" s="1" t="s">
        <v>2</v>
      </c>
      <c r="C72" s="1" t="s">
        <v>9</v>
      </c>
      <c r="D72" s="1">
        <v>120</v>
      </c>
      <c r="E72" s="1">
        <v>130</v>
      </c>
      <c r="F72" s="1">
        <v>140</v>
      </c>
      <c r="G72" s="1">
        <v>150</v>
      </c>
      <c r="H72" s="1">
        <v>160</v>
      </c>
      <c r="J72" s="1">
        <v>105</v>
      </c>
      <c r="K72" s="1">
        <f>INDEX(H72:H77,MATCH(J72,A72:A77,0))</f>
        <v>260</v>
      </c>
    </row>
    <row r="73" spans="1:11" x14ac:dyDescent="0.25">
      <c r="A73" s="1">
        <v>102</v>
      </c>
      <c r="B73" s="1" t="s">
        <v>3</v>
      </c>
      <c r="C73" s="1" t="s">
        <v>10</v>
      </c>
      <c r="D73" s="1">
        <v>150</v>
      </c>
      <c r="E73" s="1">
        <v>160</v>
      </c>
      <c r="F73" s="1">
        <v>170</v>
      </c>
      <c r="G73" s="1">
        <v>180</v>
      </c>
      <c r="H73" s="1">
        <v>190</v>
      </c>
    </row>
    <row r="74" spans="1:11" x14ac:dyDescent="0.25">
      <c r="A74" s="1">
        <v>103</v>
      </c>
      <c r="B74" s="1" t="s">
        <v>4</v>
      </c>
      <c r="C74" s="1" t="s">
        <v>9</v>
      </c>
      <c r="D74" s="1">
        <v>200</v>
      </c>
      <c r="E74" s="1">
        <v>210</v>
      </c>
      <c r="F74" s="1">
        <v>220</v>
      </c>
      <c r="G74" s="1">
        <v>230</v>
      </c>
      <c r="H74" s="1">
        <v>240</v>
      </c>
    </row>
    <row r="75" spans="1:11" x14ac:dyDescent="0.25">
      <c r="A75" s="1">
        <v>104</v>
      </c>
      <c r="B75" s="1" t="s">
        <v>5</v>
      </c>
      <c r="C75" s="1" t="s">
        <v>11</v>
      </c>
      <c r="D75" s="1">
        <v>90</v>
      </c>
      <c r="E75" s="1">
        <v>100</v>
      </c>
      <c r="F75" s="1">
        <v>110</v>
      </c>
      <c r="G75" s="1">
        <v>120</v>
      </c>
      <c r="H75" s="1">
        <v>130</v>
      </c>
    </row>
    <row r="76" spans="1:11" x14ac:dyDescent="0.25">
      <c r="A76" s="1">
        <v>105</v>
      </c>
      <c r="B76" s="1" t="s">
        <v>6</v>
      </c>
      <c r="C76" s="1" t="s">
        <v>10</v>
      </c>
      <c r="D76" s="1">
        <v>220</v>
      </c>
      <c r="E76" s="1">
        <v>230</v>
      </c>
      <c r="F76" s="1">
        <v>240</v>
      </c>
      <c r="G76" s="1">
        <v>250</v>
      </c>
      <c r="H76" s="1">
        <v>260</v>
      </c>
    </row>
    <row r="77" spans="1:11" x14ac:dyDescent="0.25">
      <c r="A77" s="1">
        <v>106</v>
      </c>
      <c r="B77" s="1" t="s">
        <v>7</v>
      </c>
      <c r="C77" s="1" t="s">
        <v>9</v>
      </c>
      <c r="D77" s="1">
        <v>130</v>
      </c>
      <c r="E77" s="1">
        <v>140</v>
      </c>
      <c r="F77" s="1">
        <v>150</v>
      </c>
      <c r="G77" s="1">
        <v>160</v>
      </c>
      <c r="H77" s="1">
        <v>170</v>
      </c>
    </row>
    <row r="79" spans="1:11" x14ac:dyDescent="0.25">
      <c r="A79" t="s">
        <v>24</v>
      </c>
    </row>
    <row r="81" spans="1:12" x14ac:dyDescent="0.25">
      <c r="A81" s="2" t="s">
        <v>0</v>
      </c>
      <c r="B81" s="2" t="s">
        <v>1</v>
      </c>
      <c r="C81" s="2" t="s">
        <v>8</v>
      </c>
      <c r="D81" s="2" t="s">
        <v>12</v>
      </c>
      <c r="E81" s="2" t="s">
        <v>13</v>
      </c>
      <c r="F81" s="2" t="s">
        <v>14</v>
      </c>
      <c r="G81" s="2" t="s">
        <v>15</v>
      </c>
      <c r="H81" s="2" t="s">
        <v>16</v>
      </c>
      <c r="J81" s="2" t="s">
        <v>1</v>
      </c>
      <c r="K81" s="3" t="s">
        <v>27</v>
      </c>
      <c r="L81" s="3" t="s">
        <v>28</v>
      </c>
    </row>
    <row r="82" spans="1:12" x14ac:dyDescent="0.25">
      <c r="A82" s="1">
        <v>101</v>
      </c>
      <c r="B82" s="1" t="s">
        <v>2</v>
      </c>
      <c r="C82" s="1" t="s">
        <v>9</v>
      </c>
      <c r="D82" s="1">
        <v>120</v>
      </c>
      <c r="E82" s="1">
        <v>130</v>
      </c>
      <c r="F82" s="1">
        <v>140</v>
      </c>
      <c r="G82" s="1">
        <v>150</v>
      </c>
      <c r="H82" s="1">
        <v>160</v>
      </c>
      <c r="J82" s="1" t="s">
        <v>4</v>
      </c>
      <c r="K82" s="1" t="s">
        <v>12</v>
      </c>
      <c r="L82" s="1">
        <f>INDEX(A81:H87,MATCH(J82,B81:B87,0),MATCH(K82,A81:H81,0))</f>
        <v>200</v>
      </c>
    </row>
    <row r="83" spans="1:12" x14ac:dyDescent="0.25">
      <c r="A83" s="1">
        <v>102</v>
      </c>
      <c r="B83" s="1" t="s">
        <v>3</v>
      </c>
      <c r="C83" s="1" t="s">
        <v>10</v>
      </c>
      <c r="D83" s="1">
        <v>150</v>
      </c>
      <c r="E83" s="1">
        <v>160</v>
      </c>
      <c r="F83" s="1">
        <v>170</v>
      </c>
      <c r="G83" s="1">
        <v>180</v>
      </c>
      <c r="H83" s="1">
        <v>190</v>
      </c>
    </row>
    <row r="84" spans="1:12" x14ac:dyDescent="0.25">
      <c r="A84" s="1">
        <v>103</v>
      </c>
      <c r="B84" s="1" t="s">
        <v>4</v>
      </c>
      <c r="C84" s="1" t="s">
        <v>9</v>
      </c>
      <c r="D84" s="1">
        <v>200</v>
      </c>
      <c r="E84" s="1">
        <v>210</v>
      </c>
      <c r="F84" s="1">
        <v>220</v>
      </c>
      <c r="G84" s="1">
        <v>230</v>
      </c>
      <c r="H84" s="1">
        <v>240</v>
      </c>
    </row>
    <row r="85" spans="1:12" x14ac:dyDescent="0.25">
      <c r="A85" s="1">
        <v>104</v>
      </c>
      <c r="B85" s="1" t="s">
        <v>5</v>
      </c>
      <c r="C85" s="1" t="s">
        <v>11</v>
      </c>
      <c r="D85" s="1">
        <v>90</v>
      </c>
      <c r="E85" s="1">
        <v>100</v>
      </c>
      <c r="F85" s="1">
        <v>110</v>
      </c>
      <c r="G85" s="1">
        <v>120</v>
      </c>
      <c r="H85" s="1">
        <v>130</v>
      </c>
    </row>
    <row r="86" spans="1:12" x14ac:dyDescent="0.25">
      <c r="A86" s="1">
        <v>105</v>
      </c>
      <c r="B86" s="1" t="s">
        <v>6</v>
      </c>
      <c r="C86" s="1" t="s">
        <v>10</v>
      </c>
      <c r="D86" s="1">
        <v>220</v>
      </c>
      <c r="E86" s="1">
        <v>230</v>
      </c>
      <c r="F86" s="1">
        <v>240</v>
      </c>
      <c r="G86" s="1">
        <v>250</v>
      </c>
      <c r="H86" s="1">
        <v>260</v>
      </c>
    </row>
    <row r="87" spans="1:12" x14ac:dyDescent="0.25">
      <c r="A87" s="1">
        <v>106</v>
      </c>
      <c r="B87" s="1" t="s">
        <v>7</v>
      </c>
      <c r="C87" s="1" t="s">
        <v>9</v>
      </c>
      <c r="D87" s="1">
        <v>130</v>
      </c>
      <c r="E87" s="1">
        <v>140</v>
      </c>
      <c r="F87" s="1">
        <v>150</v>
      </c>
      <c r="G87" s="1">
        <v>160</v>
      </c>
      <c r="H87" s="1">
        <v>170</v>
      </c>
    </row>
  </sheetData>
  <dataValidations count="2">
    <dataValidation type="list" allowBlank="1" showInputMessage="1" showErrorMessage="1" sqref="J82" xr:uid="{D2C5442D-6D93-4D9D-9911-2A50DC239807}">
      <formula1>$B$82:$B$87</formula1>
    </dataValidation>
    <dataValidation type="list" allowBlank="1" showInputMessage="1" showErrorMessage="1" sqref="K82" xr:uid="{798E7104-A911-4BCA-BF00-203BA8550CBC}">
      <formula1>$D$81:$H$81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Tanishqua Roy</dc:creator>
  <cp:lastModifiedBy>Tanishqua Roy</cp:lastModifiedBy>
  <dcterms:created xsi:type="dcterms:W3CDTF">2026-05-26T06:27:51Z</dcterms:created>
  <dcterms:modified xsi:type="dcterms:W3CDTF">2026-05-26T08:23:27Z</dcterms:modified>
</cp:coreProperties>
</file>