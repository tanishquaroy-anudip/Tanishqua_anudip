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\"/>
    </mc:Choice>
  </mc:AlternateContent>
  <xr:revisionPtr revIDLastSave="0" documentId="13_ncr:1_{155A17C8-F8CA-40F1-82A9-03C91D7345D7}" xr6:coauthVersionLast="47" xr6:coauthVersionMax="47" xr10:uidLastSave="{00000000-0000-0000-0000-000000000000}"/>
  <bookViews>
    <workbookView xWindow="-120" yWindow="-120" windowWidth="20730" windowHeight="11040" xr2:uid="{097AC6A3-B658-4422-A8ED-F3A3B58B2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G3" i="1"/>
  <c r="G4" i="1"/>
  <c r="G5" i="1"/>
  <c r="G6" i="1"/>
  <c r="G7" i="1"/>
  <c r="G2" i="1"/>
  <c r="L3" i="1"/>
  <c r="L4" i="1"/>
  <c r="L5" i="1"/>
  <c r="L6" i="1"/>
  <c r="L7" i="1"/>
  <c r="L2" i="1"/>
  <c r="K7" i="1"/>
  <c r="K3" i="1"/>
  <c r="K4" i="1"/>
  <c r="K5" i="1"/>
  <c r="K6" i="1"/>
  <c r="K2" i="1"/>
  <c r="J3" i="1"/>
  <c r="J4" i="1"/>
  <c r="J5" i="1"/>
  <c r="J6" i="1"/>
  <c r="J7" i="1"/>
  <c r="J2" i="1"/>
  <c r="I3" i="1"/>
  <c r="I4" i="1"/>
  <c r="I5" i="1"/>
  <c r="I6" i="1"/>
  <c r="I7" i="1"/>
  <c r="I2" i="1"/>
  <c r="F3" i="1"/>
  <c r="F4" i="1"/>
  <c r="F5" i="1"/>
  <c r="F6" i="1"/>
  <c r="F7" i="1"/>
  <c r="F2" i="1"/>
  <c r="H3" i="1"/>
  <c r="H4" i="1"/>
  <c r="H5" i="1"/>
  <c r="H6" i="1"/>
  <c r="H7" i="1"/>
  <c r="H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<sst xmlns="http://schemas.openxmlformats.org/spreadsheetml/2006/main" count="33" uniqueCount="31">
  <si>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</si>
  <si>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</si>
  <si>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</si>
  <si>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</si>
  <si>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</si>
  <si>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Product F</t>
  </si>
  <si>
    <t>Product A</t>
  </si>
  <si>
    <t>Product B</t>
  </si>
  <si>
    <t>Product C</t>
  </si>
  <si>
    <t>Product D</t>
  </si>
  <si>
    <t>Product E</t>
  </si>
  <si>
    <t>North</t>
  </si>
  <si>
    <t>South</t>
  </si>
  <si>
    <t>East</t>
  </si>
  <si>
    <t>West</t>
  </si>
  <si>
    <t>1.Use the IF function to evaluate whether each product met its sales target.</t>
  </si>
  <si>
    <t>2.Use the IF function to determine if a product is eligible for a regional bonus. Products in the "North" region with sales over 200 are eligible.</t>
  </si>
  <si>
    <t>3.Use nested IF functions to assign a commission rate based on sales. Sales &gt;= 200 get a 10% commission, sales &gt;= 150 get a 7% commission, and others get a 5% commission.</t>
  </si>
  <si>
    <t>4.Use the IF function to calculate a bonus amount. If sales met or exceeded the target, the bonus is 10% of the sales; otherwise, it's 5%.</t>
  </si>
  <si>
    <t>5.Use the IF function to categorize sales performance as "Excellent" (&gt;=200), "Good" (&gt;=150), or "Needs Improvement" (&lt;150).</t>
  </si>
  <si>
    <t>6.Use the IF function to assign a price tier based on the sales value. "High" for sales &gt; 200, "Medium" for sales between 100 and 200, and "Low" for sales &lt; 100.</t>
  </si>
  <si>
    <t>7.Use the IF function to calculate the year-end bonus. If sales &gt;= 150 and region is "North", the bonus is $500, otherwise, it's $300.</t>
  </si>
  <si>
    <t>8.Use the IF function to mark high performers. A product is a high performer if its sales are in the top 25% of all sales</t>
  </si>
  <si>
    <t>Eligibility</t>
  </si>
  <si>
    <t>Comission Rate</t>
  </si>
  <si>
    <t>Bonus Amount</t>
  </si>
  <si>
    <t>Sales Target</t>
  </si>
  <si>
    <t>Sales Performance</t>
  </si>
  <si>
    <t>Sales Value</t>
  </si>
  <si>
    <t>Year End Bonus</t>
  </si>
  <si>
    <t>High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</si>
</sst>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1E4C-BF16-40A0-B84C-8525FA53DA71}">
  <dimension ref="A1:O17"/>
  <sheetViews>
    <sheetView tabSelected="1" workbookViewId="0">
      <selection activeCell="O3" sqref="O3"/>
    </sheetView>
  </sheetViews>
  <sheetFormatPr defaultRowHeight="15" x14ac:dyDescent="0.25"/>
  <cols>
    <col min="1" max="1" width="9.7109375" bestFit="1" customWidth="1"/>
    <col min="2" max="2" width="9.5703125" bestFit="1" customWidth="1"/>
    <col min="3" max="3" width="5.5703125" bestFit="1" customWidth="1"/>
    <col min="4" max="4" width="6.5703125" bestFit="1" customWidth="1"/>
    <col min="5" max="5" width="7.140625" bestFit="1" customWidth="1"/>
    <col min="6" max="6" width="11.5703125" bestFit="1" customWidth="1"/>
    <col min="7" max="7" width="9.42578125" bestFit="1" customWidth="1"/>
    <col min="8" max="8" width="14.7109375" bestFit="1" customWidth="1"/>
    <col min="9" max="9" width="14.140625" bestFit="1" customWidth="1"/>
    <col min="10" max="10" width="19.5703125" bestFit="1" customWidth="1"/>
    <col min="11" max="11" width="11.140625" bestFit="1" customWidth="1"/>
    <col min="12" max="12" width="14.7109375" bestFit="1" customWidth="1"/>
    <col min="13" max="13" width="17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  <c r="G1" s="1" t="s">
        <v>23</v>
      </c>
      <c r="H1" s="1" t="s">
        <v>24</v>
      </c>
      <c r="I1" s="1" t="s">
        <v>25</v>
      </c>
      <c r="J1" s="1" t="s">
        <v>27</v>
      </c>
      <c r="K1" s="1" t="s">
        <v>28</v>
      </c>
      <c r="L1" s="1" t="s">
        <v>29</v>
      </c>
      <c r="M1" s="1" t="s">
        <v>30</v>
      </c>
      <c r="N1" s="3"/>
      <c r="O1" s="3"/>
    </row>
    <row r="2" spans="1:15" x14ac:dyDescent="0.25">
      <c r="A2" s="2">
        <v>101</v>
      </c>
      <c r="B2" s="2" t="s">
        <v>6</v>
      </c>
      <c r="C2" s="2">
        <v>120</v>
      </c>
      <c r="D2" s="2">
        <v>150</v>
      </c>
      <c r="E2" s="2" t="s">
        <v>11</v>
      </c>
      <c r="F2" s="2" t="str">
        <f>IF(C2&gt;=D2,"yes","no")</f>
        <v>no</v>
      </c>
      <c r="G2" s="2" t="str">
        <f>IF(AND(E2="North",C2&gt;200),"Eligible","Ineligible")</f>
        <v>Ineligible</v>
      </c>
      <c r="H2" s="2" t="str">
        <f>IF(C2&gt;=200,"10%",IF(C2&gt;=150,"7%","5%"))</f>
        <v>5%</v>
      </c>
      <c r="I2" s="2" t="str">
        <f>IF(C2&gt;=D2,"10%","5%")</f>
        <v>5%</v>
      </c>
      <c r="J2" s="2" t="str">
        <f>IF(C2&gt;=200,"Excellent",IF(C2&gt;=150,"Good","Needs Improvement"))</f>
        <v>Needs Improvement</v>
      </c>
      <c r="K2" s="2" t="str">
        <f>IF(C2&gt;200,"High",IF(AND(C2&gt;100,C2&lt;=200),"Medium","Low"))</f>
        <v>Medium</v>
      </c>
      <c r="L2" s="2" t="str">
        <f>IF(AND(C2&gt;=150,E2="North"),"$500","$300")</f>
        <v>$300</v>
      </c>
      <c r="M2" s="2" t="str">
        <f>IF(C2&gt;=PERCENTILE($C$2:$C$7,0.75),"High Performer","Normal")</f>
        <v>Normal</v>
      </c>
      <c r="N2" s="3"/>
      <c r="O2" s="3"/>
    </row>
    <row r="3" spans="1:15" x14ac:dyDescent="0.25">
      <c r="A3" s="2">
        <v>102</v>
      </c>
      <c r="B3" s="2" t="s">
        <v>7</v>
      </c>
      <c r="C3" s="2">
        <v>150</v>
      </c>
      <c r="D3" s="2">
        <v>140</v>
      </c>
      <c r="E3" s="2" t="s">
        <v>12</v>
      </c>
      <c r="F3" s="2" t="str">
        <f t="shared" ref="F3:F7" si="0">IF(C3&gt;=D3,"yes","no")</f>
        <v>yes</v>
      </c>
      <c r="G3" s="2" t="str">
        <f t="shared" ref="G3:G7" si="1">IF(AND(E3="North",C3&gt;200),"Eligible","Ineligible")</f>
        <v>Ineligible</v>
      </c>
      <c r="H3" s="2" t="str">
        <f t="shared" ref="H3:H7" si="2">IF(C3&gt;=200,"10%",IF(C3&gt;=150,"7%","5%"))</f>
        <v>7%</v>
      </c>
      <c r="I3" s="2" t="str">
        <f t="shared" ref="I3:I7" si="3">IF(C3&gt;=D3,"10%","5%")</f>
        <v>10%</v>
      </c>
      <c r="J3" s="2" t="str">
        <f t="shared" ref="J3:J7" si="4">IF(C3&gt;=200,"Excellent",IF(C3&gt;=150,"Good","Needs Improvement"))</f>
        <v>Good</v>
      </c>
      <c r="K3" s="2" t="str">
        <f t="shared" ref="K3:K6" si="5">IF(C3&gt;200,"High",IF(AND(C3&gt;100,C3&lt;=200),"Medium","Low"))</f>
        <v>Medium</v>
      </c>
      <c r="L3" s="2" t="str">
        <f t="shared" ref="L3:L7" si="6">IF(AND(C3&gt;=150,E3="North"),"$500","$300")</f>
        <v>$300</v>
      </c>
      <c r="M3" s="2" t="str">
        <f t="shared" ref="M3:M7" si="7">IF(C3&gt;=PERCENTILE($C$2:$C$7,0.75),"High Performer","Normal")</f>
        <v>Normal</v>
      </c>
      <c r="N3" s="3"/>
      <c r="O3" s="3"/>
    </row>
    <row r="4" spans="1:15" x14ac:dyDescent="0.25">
      <c r="A4" s="2">
        <v>103</v>
      </c>
      <c r="B4" s="2" t="s">
        <v>8</v>
      </c>
      <c r="C4" s="2">
        <v>200</v>
      </c>
      <c r="D4" s="2">
        <v>200</v>
      </c>
      <c r="E4" s="2" t="s">
        <v>13</v>
      </c>
      <c r="F4" s="2" t="str">
        <f t="shared" si="0"/>
        <v>yes</v>
      </c>
      <c r="G4" s="2" t="str">
        <f t="shared" si="1"/>
        <v>Ineligible</v>
      </c>
      <c r="H4" s="2" t="str">
        <f t="shared" si="2"/>
        <v>10%</v>
      </c>
      <c r="I4" s="2" t="str">
        <f t="shared" si="3"/>
        <v>10%</v>
      </c>
      <c r="J4" s="2" t="str">
        <f t="shared" si="4"/>
        <v>Excellent</v>
      </c>
      <c r="K4" s="2" t="str">
        <f t="shared" si="5"/>
        <v>Medium</v>
      </c>
      <c r="L4" s="2" t="str">
        <f t="shared" si="6"/>
        <v>$300</v>
      </c>
      <c r="M4" s="2" t="str">
        <f t="shared" si="7"/>
        <v>High Performer</v>
      </c>
      <c r="N4" s="3"/>
      <c r="O4" s="3"/>
    </row>
    <row r="5" spans="1:15" x14ac:dyDescent="0.25">
      <c r="A5" s="2">
        <v>104</v>
      </c>
      <c r="B5" s="2" t="s">
        <v>9</v>
      </c>
      <c r="C5" s="2">
        <v>90</v>
      </c>
      <c r="D5" s="2">
        <v>100</v>
      </c>
      <c r="E5" s="2" t="s">
        <v>14</v>
      </c>
      <c r="F5" s="2" t="str">
        <f t="shared" si="0"/>
        <v>no</v>
      </c>
      <c r="G5" s="2" t="str">
        <f t="shared" si="1"/>
        <v>Ineligible</v>
      </c>
      <c r="H5" s="2" t="str">
        <f t="shared" si="2"/>
        <v>5%</v>
      </c>
      <c r="I5" s="2" t="str">
        <f t="shared" si="3"/>
        <v>5%</v>
      </c>
      <c r="J5" s="2" t="str">
        <f t="shared" si="4"/>
        <v>Needs Improvement</v>
      </c>
      <c r="K5" s="2" t="str">
        <f t="shared" si="5"/>
        <v>Low</v>
      </c>
      <c r="L5" s="2" t="str">
        <f t="shared" si="6"/>
        <v>$300</v>
      </c>
      <c r="M5" s="2" t="str">
        <f t="shared" si="7"/>
        <v>Normal</v>
      </c>
      <c r="N5" s="3"/>
      <c r="O5" s="3"/>
    </row>
    <row r="6" spans="1:15" x14ac:dyDescent="0.25">
      <c r="A6" s="2">
        <v>105</v>
      </c>
      <c r="B6" s="2" t="s">
        <v>10</v>
      </c>
      <c r="C6" s="2">
        <v>220</v>
      </c>
      <c r="D6" s="2">
        <v>210</v>
      </c>
      <c r="E6" s="2" t="s">
        <v>11</v>
      </c>
      <c r="F6" s="2" t="str">
        <f t="shared" si="0"/>
        <v>yes</v>
      </c>
      <c r="G6" s="2" t="str">
        <f t="shared" si="1"/>
        <v>Eligible</v>
      </c>
      <c r="H6" s="2" t="str">
        <f t="shared" si="2"/>
        <v>10%</v>
      </c>
      <c r="I6" s="2" t="str">
        <f t="shared" si="3"/>
        <v>10%</v>
      </c>
      <c r="J6" s="2" t="str">
        <f t="shared" si="4"/>
        <v>Excellent</v>
      </c>
      <c r="K6" s="2" t="str">
        <f t="shared" si="5"/>
        <v>High</v>
      </c>
      <c r="L6" s="2" t="str">
        <f t="shared" si="6"/>
        <v>$500</v>
      </c>
      <c r="M6" s="2" t="str">
        <f t="shared" si="7"/>
        <v>High Performer</v>
      </c>
      <c r="N6" s="3"/>
      <c r="O6" s="3"/>
    </row>
    <row r="7" spans="1:15" x14ac:dyDescent="0.25">
      <c r="A7" s="2">
        <v>106</v>
      </c>
      <c r="B7" s="2" t="s">
        <v>5</v>
      </c>
      <c r="C7" s="2">
        <v>130</v>
      </c>
      <c r="D7" s="2">
        <v>160</v>
      </c>
      <c r="E7" s="2" t="s">
        <v>12</v>
      </c>
      <c r="F7" s="2" t="str">
        <f t="shared" si="0"/>
        <v>no</v>
      </c>
      <c r="G7" s="2" t="str">
        <f t="shared" si="1"/>
        <v>Ineligible</v>
      </c>
      <c r="H7" s="2" t="str">
        <f t="shared" si="2"/>
        <v>5%</v>
      </c>
      <c r="I7" s="2" t="str">
        <f t="shared" si="3"/>
        <v>5%</v>
      </c>
      <c r="J7" s="2" t="str">
        <f t="shared" si="4"/>
        <v>Needs Improvement</v>
      </c>
      <c r="K7" s="2" t="str">
        <f>IF(C7&gt;200,"High",IF(AND(C7&gt;100,C7&lt;=200),"Medium","Low"))</f>
        <v>Medium</v>
      </c>
      <c r="L7" s="2" t="str">
        <f t="shared" si="6"/>
        <v>$300</v>
      </c>
      <c r="M7" s="2" t="str">
        <f t="shared" si="7"/>
        <v>Normal</v>
      </c>
      <c r="N7" s="3"/>
      <c r="O7" s="3"/>
    </row>
    <row r="10" spans="1:15" x14ac:dyDescent="0.25">
      <c r="A10" t="s">
        <v>15</v>
      </c>
    </row>
    <row r="11" spans="1:15" x14ac:dyDescent="0.25">
      <c r="A11" t="s">
        <v>16</v>
      </c>
    </row>
    <row r="12" spans="1:15" x14ac:dyDescent="0.25">
      <c r="A12" t="s">
        <v>17</v>
      </c>
    </row>
    <row r="13" spans="1:15" x14ac:dyDescent="0.25">
      <c r="A13" t="s">
        <v>18</v>
      </c>
    </row>
    <row r="14" spans="1:15" x14ac:dyDescent="0.25">
      <c r="A14" t="s">
        <v>19</v>
      </c>
    </row>
    <row r="15" spans="1:15" x14ac:dyDescent="0.25">
      <c r="A15" t="s">
        <v>20</v>
      </c>
    </row>
    <row r="16" spans="1:15" x14ac:dyDescent="0.25">
      <c r="A16" t="s">
        <v>21</v>
      </c>
    </row>
    <row r="17" spans="1:1" x14ac:dyDescent="0.25">
      <c r="A1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Tanishqua Roy</dc:creator>
  <cp:lastModifiedBy>Tanishqua Roy</cp:lastModifiedBy>
  <dcterms:created xsi:type="dcterms:W3CDTF">2026-05-18T17:19:25Z</dcterms:created>
  <dcterms:modified xsi:type="dcterms:W3CDTF">2026-05-19T03:10:55Z</dcterms:modified>
</cp:coreProperties>
</file>